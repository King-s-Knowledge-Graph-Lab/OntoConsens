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zyyyh/Desktop/OntoConsens/"/>
    </mc:Choice>
  </mc:AlternateContent>
  <xr:revisionPtr revIDLastSave="0" documentId="13_ncr:1_{F0984F5C-D84E-AF47-8D0C-6170E87D8151}" xr6:coauthVersionLast="47" xr6:coauthVersionMax="47" xr10:uidLastSave="{00000000-0000-0000-0000-000000000000}"/>
  <bookViews>
    <workbookView xWindow="12820" yWindow="660" windowWidth="21720" windowHeight="20060" tabRatio="500" xr2:uid="{00000000-000D-0000-FFFF-FFFF00000000}"/>
  </bookViews>
  <sheets>
    <sheet name="Participant Demographics" sheetId="7" r:id="rId1"/>
    <sheet name="EQ1, EQ4-EQ7" sheetId="1" r:id="rId2"/>
    <sheet name="EQ2, EQ3" sheetId="4" r:id="rId3"/>
  </sheets>
  <definedNames>
    <definedName name="_xlnm._FilterDatabase" localSheetId="2" hidden="1">'EQ2, EQ3'!$A$1:$G$99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12" i="1" l="1"/>
  <c r="AM62" i="1"/>
  <c r="AL62" i="1"/>
  <c r="AK62" i="1"/>
  <c r="AJ62" i="1"/>
  <c r="AI62" i="1"/>
  <c r="AM61" i="1"/>
  <c r="AL61" i="1"/>
  <c r="AK61" i="1"/>
  <c r="AJ61" i="1"/>
  <c r="AI61" i="1"/>
  <c r="AM60" i="1"/>
  <c r="AL60" i="1"/>
  <c r="AK60" i="1"/>
  <c r="AJ60" i="1"/>
  <c r="AI60" i="1"/>
  <c r="AM59" i="1"/>
  <c r="AL59" i="1"/>
  <c r="AK59" i="1"/>
  <c r="AJ59" i="1"/>
  <c r="AI59" i="1"/>
  <c r="AM58" i="1"/>
  <c r="AL58" i="1"/>
  <c r="AK58" i="1"/>
  <c r="AJ58" i="1"/>
  <c r="AI58" i="1"/>
  <c r="AM57" i="1"/>
  <c r="AL57" i="1"/>
  <c r="AK57" i="1"/>
  <c r="AJ57" i="1"/>
  <c r="AI57" i="1"/>
  <c r="AM56" i="1"/>
  <c r="AL56" i="1"/>
  <c r="AK56" i="1"/>
  <c r="AJ56" i="1"/>
  <c r="AI56" i="1"/>
  <c r="AM55" i="1"/>
  <c r="AL55" i="1"/>
  <c r="AK55" i="1"/>
  <c r="AJ55" i="1"/>
  <c r="AI55" i="1"/>
  <c r="AM54" i="1"/>
  <c r="AL54" i="1"/>
  <c r="AK54" i="1"/>
  <c r="AJ54" i="1"/>
  <c r="AI54" i="1"/>
  <c r="AM53" i="1"/>
  <c r="AL53" i="1"/>
  <c r="AK53" i="1"/>
  <c r="AJ53" i="1"/>
  <c r="AI53" i="1"/>
  <c r="AM52" i="1"/>
  <c r="AL52" i="1"/>
  <c r="AK52" i="1"/>
  <c r="AJ52" i="1"/>
  <c r="AI52" i="1"/>
  <c r="AM51" i="1"/>
  <c r="AL51" i="1"/>
  <c r="AK51" i="1"/>
  <c r="AJ51" i="1"/>
  <c r="AI51" i="1"/>
  <c r="AM50" i="1"/>
  <c r="AL50" i="1"/>
  <c r="AK50" i="1"/>
  <c r="AJ50" i="1"/>
  <c r="AI50" i="1"/>
  <c r="AM49" i="1"/>
  <c r="AL49" i="1"/>
  <c r="AK49" i="1"/>
  <c r="AJ49" i="1"/>
  <c r="AI49" i="1"/>
  <c r="AM48" i="1"/>
  <c r="AL48" i="1"/>
  <c r="AK48" i="1"/>
  <c r="AJ48" i="1"/>
  <c r="AI48" i="1"/>
  <c r="AM47" i="1"/>
  <c r="AL47" i="1"/>
  <c r="AK47" i="1"/>
  <c r="AJ47" i="1"/>
  <c r="AI47" i="1"/>
  <c r="AM46" i="1"/>
  <c r="AL46" i="1"/>
  <c r="AK46" i="1"/>
  <c r="AJ46" i="1"/>
  <c r="AI46" i="1"/>
  <c r="AM45" i="1"/>
  <c r="AL45" i="1"/>
  <c r="AK45" i="1"/>
  <c r="AJ45" i="1"/>
  <c r="AI45" i="1"/>
  <c r="AM44" i="1"/>
  <c r="AL44" i="1"/>
  <c r="AK44" i="1"/>
  <c r="AJ44" i="1"/>
  <c r="AI44" i="1"/>
  <c r="AM43" i="1"/>
  <c r="AL43" i="1"/>
  <c r="AK43" i="1"/>
  <c r="AJ43" i="1"/>
  <c r="AI43" i="1"/>
  <c r="AM42" i="1"/>
  <c r="AL42" i="1"/>
  <c r="AK42" i="1"/>
  <c r="AJ42" i="1"/>
  <c r="AI42" i="1"/>
  <c r="AM41" i="1"/>
  <c r="AL41" i="1"/>
  <c r="AK41" i="1"/>
  <c r="AJ41" i="1"/>
  <c r="AI41" i="1"/>
  <c r="AM40" i="1"/>
  <c r="AL40" i="1"/>
  <c r="AK40" i="1"/>
  <c r="AJ40" i="1"/>
  <c r="AI40" i="1"/>
  <c r="AM39" i="1"/>
  <c r="AL39" i="1"/>
  <c r="AK39" i="1"/>
  <c r="AJ39" i="1"/>
  <c r="AI39" i="1"/>
  <c r="AM38" i="1"/>
  <c r="AL38" i="1"/>
  <c r="AK38" i="1"/>
  <c r="AJ38" i="1"/>
  <c r="AI38" i="1"/>
  <c r="AM37" i="1"/>
  <c r="AL37" i="1"/>
  <c r="AK37" i="1"/>
  <c r="AJ37" i="1"/>
  <c r="AI37" i="1"/>
  <c r="AM36" i="1"/>
  <c r="AL36" i="1"/>
  <c r="AK36" i="1"/>
  <c r="AJ36" i="1"/>
  <c r="AI36" i="1"/>
  <c r="AM35" i="1"/>
  <c r="AL35" i="1"/>
  <c r="AK35" i="1"/>
  <c r="AJ35" i="1"/>
  <c r="AI35" i="1"/>
  <c r="AM34" i="1"/>
  <c r="AL34" i="1"/>
  <c r="AK34" i="1"/>
  <c r="AJ34" i="1"/>
  <c r="AI34" i="1"/>
  <c r="AM33" i="1"/>
  <c r="AL33" i="1"/>
  <c r="AK33" i="1"/>
  <c r="AJ33" i="1"/>
  <c r="AI33" i="1"/>
  <c r="AM32" i="1"/>
  <c r="AL32" i="1"/>
  <c r="AK32" i="1"/>
  <c r="AJ32" i="1"/>
  <c r="AI32" i="1"/>
  <c r="AM31" i="1"/>
  <c r="AL31" i="1"/>
  <c r="AK31" i="1"/>
  <c r="AJ31" i="1"/>
  <c r="AI31" i="1"/>
  <c r="AM30" i="1"/>
  <c r="AL30" i="1"/>
  <c r="AK30" i="1"/>
  <c r="AJ30" i="1"/>
  <c r="AI30" i="1"/>
  <c r="AM29" i="1"/>
  <c r="AL29" i="1"/>
  <c r="AK29" i="1"/>
  <c r="AJ29" i="1"/>
  <c r="AI29" i="1"/>
  <c r="AM28" i="1"/>
  <c r="AL28" i="1"/>
  <c r="AK28" i="1"/>
  <c r="AJ28" i="1"/>
  <c r="AI28" i="1"/>
  <c r="AM27" i="1"/>
  <c r="AL27" i="1"/>
  <c r="AK27" i="1"/>
  <c r="AJ27" i="1"/>
  <c r="AI27" i="1"/>
  <c r="AM26" i="1"/>
  <c r="AL26" i="1"/>
  <c r="AK26" i="1"/>
  <c r="AJ26" i="1"/>
  <c r="AI26" i="1"/>
  <c r="AM25" i="1"/>
  <c r="AL25" i="1"/>
  <c r="AK25" i="1"/>
  <c r="AJ25" i="1"/>
  <c r="AI25" i="1"/>
  <c r="AM24" i="1"/>
  <c r="AL24" i="1"/>
  <c r="AK24" i="1"/>
  <c r="AJ24" i="1"/>
  <c r="AI24" i="1"/>
  <c r="AM23" i="1"/>
  <c r="AL23" i="1"/>
  <c r="AK23" i="1"/>
  <c r="AJ23" i="1"/>
  <c r="AI23" i="1"/>
  <c r="AM22" i="1"/>
  <c r="AL22" i="1"/>
  <c r="AK22" i="1"/>
  <c r="AJ22" i="1"/>
  <c r="AI22" i="1"/>
  <c r="AM21" i="1"/>
  <c r="AL21" i="1"/>
  <c r="AK21" i="1"/>
  <c r="AJ21" i="1"/>
  <c r="AI21" i="1"/>
  <c r="AM20" i="1"/>
  <c r="AL20" i="1"/>
  <c r="AK20" i="1"/>
  <c r="AJ20" i="1"/>
  <c r="AI20" i="1"/>
  <c r="AM19" i="1"/>
  <c r="AL19" i="1"/>
  <c r="AK19" i="1"/>
  <c r="AJ19" i="1"/>
  <c r="AI19" i="1"/>
  <c r="AM18" i="1"/>
  <c r="AL18" i="1"/>
  <c r="AK18" i="1"/>
  <c r="AJ18" i="1"/>
  <c r="AI18" i="1"/>
  <c r="AM17" i="1"/>
  <c r="AL17" i="1"/>
  <c r="AK17" i="1"/>
  <c r="AJ17" i="1"/>
  <c r="AI17" i="1"/>
  <c r="AM16" i="1"/>
  <c r="AL16" i="1"/>
  <c r="AK16" i="1"/>
  <c r="AJ16" i="1"/>
  <c r="AI16" i="1"/>
  <c r="AM15" i="1"/>
  <c r="AL15" i="1"/>
  <c r="AK15" i="1"/>
  <c r="AJ15" i="1"/>
  <c r="AI15" i="1"/>
  <c r="AM14" i="1"/>
  <c r="AL14" i="1"/>
  <c r="AK14" i="1"/>
  <c r="AJ14" i="1"/>
  <c r="AI14" i="1"/>
  <c r="AM13" i="1"/>
  <c r="AL13" i="1"/>
  <c r="AK13" i="1"/>
  <c r="AJ13" i="1"/>
  <c r="AI13" i="1"/>
  <c r="AM12" i="1"/>
  <c r="AL12" i="1"/>
  <c r="AK12" i="1"/>
  <c r="AJ12" i="1"/>
  <c r="AM11" i="1"/>
  <c r="AL11" i="1"/>
  <c r="AK11" i="1"/>
  <c r="AJ11" i="1"/>
  <c r="AI11" i="1"/>
  <c r="AM10" i="1"/>
  <c r="AL10" i="1"/>
  <c r="AK10" i="1"/>
  <c r="AJ10" i="1"/>
  <c r="AI10" i="1"/>
  <c r="AM9" i="1"/>
  <c r="AL9" i="1"/>
  <c r="AK9" i="1"/>
  <c r="AJ9" i="1"/>
  <c r="AI9" i="1"/>
  <c r="AM8" i="1"/>
  <c r="AL8" i="1"/>
  <c r="AK8" i="1"/>
  <c r="AJ8" i="1"/>
  <c r="AI8" i="1"/>
  <c r="AM7" i="1"/>
  <c r="AL7" i="1"/>
  <c r="AK7" i="1"/>
  <c r="AJ7" i="1"/>
  <c r="AI7" i="1"/>
  <c r="AM6" i="1"/>
  <c r="AL6" i="1"/>
  <c r="AK6" i="1"/>
  <c r="AJ6" i="1"/>
  <c r="AI6" i="1"/>
  <c r="AM5" i="1"/>
  <c r="AL5" i="1"/>
  <c r="AK5" i="1"/>
  <c r="AJ5" i="1"/>
  <c r="AI5" i="1"/>
  <c r="AM4" i="1"/>
  <c r="AL4" i="1"/>
  <c r="AK4" i="1"/>
  <c r="AJ4" i="1"/>
  <c r="AI4" i="1"/>
  <c r="AM3" i="1"/>
  <c r="AL3" i="1"/>
  <c r="AK3" i="1"/>
  <c r="AJ3" i="1"/>
  <c r="AI3" i="1"/>
</calcChain>
</file>

<file path=xl/sharedStrings.xml><?xml version="1.0" encoding="utf-8"?>
<sst xmlns="http://schemas.openxmlformats.org/spreadsheetml/2006/main" count="942" uniqueCount="171">
  <si>
    <t>Participant and condition</t>
  </si>
  <si>
    <t>EQ1: What effect, if any, does the disagreement visualization have on the perceived ease of identifying disagreements?</t>
  </si>
  <si>
    <t>EQ4: What is the perceived readability of the disagreement visualization?</t>
  </si>
  <si>
    <t>EQ5: What is the perceived trustworthiness of the disagreement visualization?</t>
  </si>
  <si>
    <t>EQ6: What is the perceived disruptiveness of the disagreement visualization intervention?</t>
  </si>
  <si>
    <t>EQ7: What is the perceived sense of agency over the discussion with the disagreement visualization intervention?</t>
  </si>
  <si>
    <t>Composite scores (calculated by formula)</t>
  </si>
  <si>
    <t>Participant ID</t>
  </si>
  <si>
    <t>Group</t>
  </si>
  <si>
    <t>Condition</t>
  </si>
  <si>
    <t>Condition Order</t>
  </si>
  <si>
    <t>Class</t>
  </si>
  <si>
    <t>EQ1.1 How easy was it to identify which property had disagreement among your group members?</t>
  </si>
  <si>
    <t>EQ1.2 How easy was it to identify which property you had disagreement on with your group members?</t>
  </si>
  <si>
    <t>EQ1.3 How easy was it to identify the specific points of disagreement among your group members for each disputed property?</t>
  </si>
  <si>
    <t>EQ1.4 How easy was it to identify the specific points of disagreement between you and your group members for each disputed property?</t>
  </si>
  <si>
    <t>EQ1.5 How easy was it to identify which group members shared similar opinions with each other on the disputed properties?</t>
  </si>
  <si>
    <t>EQ1.6 How easy was it to identify which group members shared similar opinions to yours on the disputed properties?</t>
  </si>
  <si>
    <t>EQ1.7 How easy was it to identify which group members disagreed with each other on the disputed properties?</t>
  </si>
  <si>
    <t>EQ1.8 How easy was it to identify which group members disagreed with you on the disputed properties?</t>
  </si>
  <si>
    <t>EQ1.9 How easy was it to identify your group members' overall position on each disputed property?</t>
  </si>
  <si>
    <t>EQ1.10 How easy was it to identify how your own position compared to your group members' overall position on each disputed property?</t>
  </si>
  <si>
    <t>EQ4.1 It is obvious for me how to read this visualization.</t>
  </si>
  <si>
    <t>EQ4.2 I can easily understand how the information is represented in this visualization.</t>
  </si>
  <si>
    <t>EQ4.3 I can easily understand this visualization.</t>
  </si>
  <si>
    <t>EQ4.4 I don't find this visualization messy.</t>
  </si>
  <si>
    <t>EQ4.5 I don't find this visualization crowded.</t>
  </si>
  <si>
    <t>EQ4.6 I don't find distracting parts in this visualization.</t>
  </si>
  <si>
    <t>EQ4.7 I can find specific elements (e.g., examples, counterexamples, and who supports them) in this visualization.</t>
  </si>
  <si>
    <t>EQ4.8 I can easily find specific elements (e.g., examples, counterexamples, and who supports them) in this visualization.</t>
  </si>
  <si>
    <t>EQ4.9 I can find decreasing or escalating disagreement regarding the same disputed property across successive visualizations over time.</t>
  </si>
  <si>
    <t>EQ4.10 I can easily find decreasing or escalating disagreement regarding the same disputed property across successive visualizations over time.</t>
  </si>
  <si>
    <t>EQ5.1 I am confident in the information provided by the AI moderator (OntoConsens).</t>
  </si>
  <si>
    <t>EQ5.2 The information provided by the AI moderator (OntoConsens) is reliable.</t>
  </si>
  <si>
    <t>EQ5.3 I can trust the information provided by the AI moderator (OntoConsens).</t>
  </si>
  <si>
    <t>EQ6.1 The AI moderator (OntoConsens) intervened at moments when our discussion was still actively progressing.</t>
  </si>
  <si>
    <t>EQ6.2 The AI moderator (OntoConsens) intervened more often than felt necessary.</t>
  </si>
  <si>
    <t>EQ6.3 After the AI moderator (OntoConsens) intervened, it took effort for our group to get back to what we were discussing.</t>
  </si>
  <si>
    <t>EQ6.4 Overall, the AI moderator's (OntoConsens's) interventions felt disruptive.</t>
  </si>
  <si>
    <t>EQ7.1 The direction of our discussion was shaped by our group from the very beginning to the very end.</t>
  </si>
  <si>
    <t>EQ7.2 We were not just an instrument in the hands of the AI moderator (OntoConsens).</t>
  </si>
  <si>
    <t>EQ1 composite score (mean of EQ1.1 to EQ1.10)</t>
  </si>
  <si>
    <t>EQ4 composite score (mean of EQ4.1 to EQ4.10)</t>
  </si>
  <si>
    <t>EQ5 composite score (mean of EQ5.1 to EQ5.3)</t>
  </si>
  <si>
    <t>EQ6 composite score (mean of EQ6.1 to EQ6.4)</t>
  </si>
  <si>
    <t>EQ7 composite score (mean of EQ7.1 to EQ7.2)</t>
  </si>
  <si>
    <t>P1</t>
  </si>
  <si>
    <t>G1</t>
  </si>
  <si>
    <t>With AI</t>
  </si>
  <si>
    <t>First</t>
  </si>
  <si>
    <t>University</t>
  </si>
  <si>
    <t>Without AI</t>
  </si>
  <si>
    <t>Second</t>
  </si>
  <si>
    <t>Food</t>
  </si>
  <si>
    <t>P2</t>
  </si>
  <si>
    <t>P3</t>
  </si>
  <si>
    <t>P4</t>
  </si>
  <si>
    <t>G2</t>
  </si>
  <si>
    <t>P5</t>
  </si>
  <si>
    <t>P6</t>
  </si>
  <si>
    <t>P7</t>
  </si>
  <si>
    <t>G3</t>
  </si>
  <si>
    <t>P8</t>
  </si>
  <si>
    <t>P9</t>
  </si>
  <si>
    <t>P10</t>
  </si>
  <si>
    <t>G4</t>
  </si>
  <si>
    <t>P11</t>
  </si>
  <si>
    <t>P12</t>
  </si>
  <si>
    <t>P13</t>
  </si>
  <si>
    <t>G5</t>
  </si>
  <si>
    <t>P14</t>
  </si>
  <si>
    <t>P15</t>
  </si>
  <si>
    <t>P16</t>
  </si>
  <si>
    <t>G6</t>
  </si>
  <si>
    <t>P17</t>
  </si>
  <si>
    <t>P18</t>
  </si>
  <si>
    <t>P19</t>
  </si>
  <si>
    <t>G7</t>
  </si>
  <si>
    <t>P20</t>
  </si>
  <si>
    <t>P21</t>
  </si>
  <si>
    <t>P22</t>
  </si>
  <si>
    <t>G8</t>
  </si>
  <si>
    <t>P23</t>
  </si>
  <si>
    <t>P24</t>
  </si>
  <si>
    <t>P25</t>
  </si>
  <si>
    <t>G9</t>
  </si>
  <si>
    <t>P26</t>
  </si>
  <si>
    <t>P27</t>
  </si>
  <si>
    <t>P28</t>
  </si>
  <si>
    <t>G10</t>
  </si>
  <si>
    <t>P29</t>
  </si>
  <si>
    <t>P30</t>
  </si>
  <si>
    <t>Property</t>
  </si>
  <si>
    <t>e_i (EQ2)</t>
  </si>
  <si>
    <t>t_i (s) (EQ3)</t>
  </si>
  <si>
    <t>President</t>
  </si>
  <si>
    <t>Library</t>
  </si>
  <si>
    <t>Temperature</t>
  </si>
  <si>
    <t>Cuisine</t>
  </si>
  <si>
    <t>Price</t>
  </si>
  <si>
    <t>Packaging</t>
  </si>
  <si>
    <t>Mouthfeel</t>
  </si>
  <si>
    <t>Ingredients</t>
  </si>
  <si>
    <t>Taste</t>
  </si>
  <si>
    <t>Calories</t>
  </si>
  <si>
    <t>Location</t>
  </si>
  <si>
    <t>Dormitory</t>
  </si>
  <si>
    <t>Mascot</t>
  </si>
  <si>
    <t>Brand</t>
  </si>
  <si>
    <t>Nutrients</t>
  </si>
  <si>
    <t>Texture</t>
  </si>
  <si>
    <t>Colour</t>
  </si>
  <si>
    <t>Size</t>
  </si>
  <si>
    <t>Ranking</t>
  </si>
  <si>
    <t>Students</t>
  </si>
  <si>
    <t>Canteen</t>
  </si>
  <si>
    <t>Courses</t>
  </si>
  <si>
    <t>Flavour</t>
  </si>
  <si>
    <t>Variety</t>
  </si>
  <si>
    <t>Competitions</t>
  </si>
  <si>
    <t>Name</t>
  </si>
  <si>
    <t>Reputation</t>
  </si>
  <si>
    <t>Additives</t>
  </si>
  <si>
    <t>Knowledge</t>
  </si>
  <si>
    <t>Majors</t>
  </si>
  <si>
    <t>Achievements</t>
  </si>
  <si>
    <t>Disciplines</t>
  </si>
  <si>
    <t>Buildings</t>
  </si>
  <si>
    <t>Website</t>
  </si>
  <si>
    <t>Allergens</t>
  </si>
  <si>
    <t>Energy</t>
  </si>
  <si>
    <t>Leadership</t>
  </si>
  <si>
    <t>Inclusivity</t>
  </si>
  <si>
    <t>Academics</t>
  </si>
  <si>
    <t>Expiry</t>
  </si>
  <si>
    <t>Origin</t>
  </si>
  <si>
    <t>Specialty</t>
  </si>
  <si>
    <t>Storage</t>
  </si>
  <si>
    <t>Moisture</t>
  </si>
  <si>
    <t>Nature</t>
  </si>
  <si>
    <t>Category</t>
  </si>
  <si>
    <t>Union</t>
  </si>
  <si>
    <t>Uniform</t>
  </si>
  <si>
    <t>Flower</t>
  </si>
  <si>
    <t>Tuition</t>
  </si>
  <si>
    <t>Faculty</t>
  </si>
  <si>
    <t>Teaching</t>
  </si>
  <si>
    <t>Curriculum</t>
  </si>
  <si>
    <t>Emblem</t>
  </si>
  <si>
    <t>Preparation</t>
  </si>
  <si>
    <t>State</t>
  </si>
  <si>
    <t>Portion</t>
  </si>
  <si>
    <t>Microwavability</t>
  </si>
  <si>
    <t>Timetable</t>
  </si>
  <si>
    <t>Activities</t>
  </si>
  <si>
    <t>Colours</t>
  </si>
  <si>
    <t>Administration</t>
  </si>
  <si>
    <t>Records</t>
  </si>
  <si>
    <t>Vegetation</t>
  </si>
  <si>
    <t>Processing</t>
  </si>
  <si>
    <t>Halal</t>
  </si>
  <si>
    <t>Founding</t>
  </si>
  <si>
    <t>Gender</t>
  </si>
  <si>
    <t>Age</t>
  </si>
  <si>
    <t>Year of Undergraduate Study</t>
  </si>
  <si>
    <t>Familiarity with OE</t>
  </si>
  <si>
    <t>Familiarity with defining properties for classes in OE</t>
  </si>
  <si>
    <t>Familiarity with collaborating with peers in groupwork</t>
  </si>
  <si>
    <t>Familiarity with using AI tools to support groupwork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</si>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</sst>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charset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F747-ECDC-C840-A1E4-A1FDDEAED5A4}">
  <dimension ref="A1:I31"/>
  <sheetViews>
    <sheetView tabSelected="1" zoomScale="125" workbookViewId="0">
      <pane ySplit="1" topLeftCell="A2" activePane="bottomLeft" state="frozen"/>
      <selection pane="bottomLeft"/>
    </sheetView>
  </sheetViews>
  <sheetFormatPr baseColWidth="10" defaultRowHeight="13" x14ac:dyDescent="0.2"/>
  <cols>
    <col min="1" max="9" width="14" style="8" customWidth="1"/>
    <col min="10" max="16384" width="10.83203125" style="8"/>
  </cols>
  <sheetData>
    <row r="1" spans="1:9" s="9" customFormat="1" ht="151" customHeight="1" x14ac:dyDescent="0.2">
      <c r="A1" s="10" t="s">
        <v>7</v>
      </c>
      <c r="B1" s="10" t="s">
        <v>8</v>
      </c>
      <c r="C1" s="10" t="s">
        <v>162</v>
      </c>
      <c r="D1" s="10" t="s">
        <v>163</v>
      </c>
      <c r="E1" s="10" t="s">
        <v>164</v>
      </c>
      <c r="F1" s="10" t="s">
        <v>165</v>
      </c>
      <c r="G1" s="10" t="s">
        <v>166</v>
      </c>
      <c r="H1" s="10" t="s">
        <v>167</v>
      </c>
      <c r="I1" s="10" t="s">
        <v>168</v>
      </c>
    </row>
    <row r="2" spans="1:9" x14ac:dyDescent="0.2">
      <c r="A2" s="8" t="s">
        <v>46</v>
      </c>
      <c r="B2" s="8" t="s">
        <v>47</v>
      </c>
      <c r="C2" s="8" t="s">
        <v>169</v>
      </c>
      <c r="D2" s="8">
        <v>20</v>
      </c>
      <c r="E2" s="8">
        <v>2</v>
      </c>
      <c r="F2" s="8">
        <v>4</v>
      </c>
      <c r="G2" s="8">
        <v>3</v>
      </c>
      <c r="H2" s="8">
        <v>4</v>
      </c>
      <c r="I2" s="8">
        <v>4</v>
      </c>
    </row>
    <row r="3" spans="1:9" x14ac:dyDescent="0.2">
      <c r="A3" s="8" t="s">
        <v>54</v>
      </c>
      <c r="B3" s="8" t="s">
        <v>47</v>
      </c>
      <c r="C3" s="8" t="s">
        <v>170</v>
      </c>
      <c r="D3" s="8">
        <v>19</v>
      </c>
      <c r="E3" s="8">
        <v>2</v>
      </c>
      <c r="F3" s="8">
        <v>3</v>
      </c>
      <c r="G3" s="8">
        <v>3</v>
      </c>
      <c r="H3" s="8">
        <v>3</v>
      </c>
      <c r="I3" s="8">
        <v>2</v>
      </c>
    </row>
    <row r="4" spans="1:9" x14ac:dyDescent="0.2">
      <c r="A4" s="8" t="s">
        <v>55</v>
      </c>
      <c r="B4" s="8" t="s">
        <v>47</v>
      </c>
      <c r="C4" s="8" t="s">
        <v>170</v>
      </c>
      <c r="D4" s="8">
        <v>23</v>
      </c>
      <c r="E4" s="8">
        <v>3</v>
      </c>
      <c r="F4" s="8">
        <v>4</v>
      </c>
      <c r="G4" s="8">
        <v>4</v>
      </c>
      <c r="H4" s="8">
        <v>4</v>
      </c>
      <c r="I4" s="8">
        <v>3</v>
      </c>
    </row>
    <row r="5" spans="1:9" x14ac:dyDescent="0.2">
      <c r="A5" s="8" t="s">
        <v>56</v>
      </c>
      <c r="B5" s="8" t="s">
        <v>57</v>
      </c>
      <c r="C5" s="8" t="s">
        <v>169</v>
      </c>
      <c r="D5" s="8">
        <v>20</v>
      </c>
      <c r="E5" s="8">
        <v>2</v>
      </c>
      <c r="F5" s="8">
        <v>2</v>
      </c>
      <c r="G5" s="8">
        <v>2</v>
      </c>
      <c r="H5" s="8">
        <v>5</v>
      </c>
      <c r="I5" s="8">
        <v>3</v>
      </c>
    </row>
    <row r="6" spans="1:9" x14ac:dyDescent="0.2">
      <c r="A6" s="8" t="s">
        <v>58</v>
      </c>
      <c r="B6" s="8" t="s">
        <v>57</v>
      </c>
      <c r="C6" s="8" t="s">
        <v>169</v>
      </c>
      <c r="D6" s="8">
        <v>18</v>
      </c>
      <c r="E6" s="8">
        <v>2</v>
      </c>
      <c r="F6" s="8">
        <v>3</v>
      </c>
      <c r="G6" s="8">
        <v>3</v>
      </c>
      <c r="H6" s="8">
        <v>5</v>
      </c>
      <c r="I6" s="8">
        <v>2</v>
      </c>
    </row>
    <row r="7" spans="1:9" x14ac:dyDescent="0.2">
      <c r="A7" s="8" t="s">
        <v>59</v>
      </c>
      <c r="B7" s="8" t="s">
        <v>57</v>
      </c>
      <c r="C7" s="8" t="s">
        <v>169</v>
      </c>
      <c r="D7" s="8">
        <v>20</v>
      </c>
      <c r="E7" s="8">
        <v>2</v>
      </c>
      <c r="F7" s="8">
        <v>3</v>
      </c>
      <c r="G7" s="8">
        <v>3</v>
      </c>
      <c r="H7" s="8">
        <v>4</v>
      </c>
      <c r="I7" s="8">
        <v>3</v>
      </c>
    </row>
    <row r="8" spans="1:9" x14ac:dyDescent="0.2">
      <c r="A8" s="8" t="s">
        <v>60</v>
      </c>
      <c r="B8" s="8" t="s">
        <v>61</v>
      </c>
      <c r="C8" s="8" t="s">
        <v>170</v>
      </c>
      <c r="D8" s="8">
        <v>22</v>
      </c>
      <c r="E8" s="8">
        <v>3</v>
      </c>
      <c r="F8" s="8">
        <v>4</v>
      </c>
      <c r="G8" s="8">
        <v>4</v>
      </c>
      <c r="H8" s="8">
        <v>4</v>
      </c>
      <c r="I8" s="8">
        <v>5</v>
      </c>
    </row>
    <row r="9" spans="1:9" x14ac:dyDescent="0.2">
      <c r="A9" s="8" t="s">
        <v>62</v>
      </c>
      <c r="B9" s="8" t="s">
        <v>61</v>
      </c>
      <c r="C9" s="8" t="s">
        <v>170</v>
      </c>
      <c r="D9" s="8">
        <v>21</v>
      </c>
      <c r="E9" s="8">
        <v>2</v>
      </c>
      <c r="F9" s="8">
        <v>5</v>
      </c>
      <c r="G9" s="8">
        <v>5</v>
      </c>
      <c r="H9" s="8">
        <v>4</v>
      </c>
      <c r="I9" s="8">
        <v>5</v>
      </c>
    </row>
    <row r="10" spans="1:9" x14ac:dyDescent="0.2">
      <c r="A10" s="8" t="s">
        <v>63</v>
      </c>
      <c r="B10" s="8" t="s">
        <v>61</v>
      </c>
      <c r="C10" s="8" t="s">
        <v>170</v>
      </c>
      <c r="D10" s="8">
        <v>20</v>
      </c>
      <c r="E10" s="8">
        <v>2</v>
      </c>
      <c r="F10" s="8">
        <v>3</v>
      </c>
      <c r="G10" s="8">
        <v>3</v>
      </c>
      <c r="H10" s="8">
        <v>4</v>
      </c>
      <c r="I10" s="8">
        <v>4</v>
      </c>
    </row>
    <row r="11" spans="1:9" x14ac:dyDescent="0.2">
      <c r="A11" s="8" t="s">
        <v>64</v>
      </c>
      <c r="B11" s="8" t="s">
        <v>65</v>
      </c>
      <c r="C11" s="8" t="s">
        <v>169</v>
      </c>
      <c r="D11" s="8">
        <v>21</v>
      </c>
      <c r="E11" s="8">
        <v>2</v>
      </c>
      <c r="F11" s="8">
        <v>3</v>
      </c>
      <c r="G11" s="8">
        <v>3</v>
      </c>
      <c r="H11" s="8">
        <v>3</v>
      </c>
      <c r="I11" s="8">
        <v>3</v>
      </c>
    </row>
    <row r="12" spans="1:9" x14ac:dyDescent="0.2">
      <c r="A12" s="8" t="s">
        <v>66</v>
      </c>
      <c r="B12" s="8" t="s">
        <v>65</v>
      </c>
      <c r="C12" s="8" t="s">
        <v>170</v>
      </c>
      <c r="D12" s="8">
        <v>21</v>
      </c>
      <c r="E12" s="8">
        <v>2</v>
      </c>
      <c r="F12" s="8">
        <v>3</v>
      </c>
      <c r="G12" s="8">
        <v>3</v>
      </c>
      <c r="H12" s="8">
        <v>3</v>
      </c>
      <c r="I12" s="8">
        <v>3</v>
      </c>
    </row>
    <row r="13" spans="1:9" x14ac:dyDescent="0.2">
      <c r="A13" s="8" t="s">
        <v>67</v>
      </c>
      <c r="B13" s="8" t="s">
        <v>65</v>
      </c>
      <c r="C13" s="8" t="s">
        <v>169</v>
      </c>
      <c r="D13" s="8">
        <v>21</v>
      </c>
      <c r="E13" s="8">
        <v>3</v>
      </c>
      <c r="F13" s="8">
        <v>3</v>
      </c>
      <c r="G13" s="8">
        <v>3</v>
      </c>
      <c r="H13" s="8">
        <v>3</v>
      </c>
      <c r="I13" s="8">
        <v>3</v>
      </c>
    </row>
    <row r="14" spans="1:9" x14ac:dyDescent="0.2">
      <c r="A14" s="8" t="s">
        <v>68</v>
      </c>
      <c r="B14" s="8" t="s">
        <v>69</v>
      </c>
      <c r="C14" s="8" t="s">
        <v>170</v>
      </c>
      <c r="D14" s="8">
        <v>19</v>
      </c>
      <c r="E14" s="8">
        <v>2</v>
      </c>
      <c r="F14" s="8">
        <v>2</v>
      </c>
      <c r="G14" s="8">
        <v>2</v>
      </c>
      <c r="H14" s="8">
        <v>5</v>
      </c>
      <c r="I14" s="8">
        <v>4</v>
      </c>
    </row>
    <row r="15" spans="1:9" x14ac:dyDescent="0.2">
      <c r="A15" s="8" t="s">
        <v>70</v>
      </c>
      <c r="B15" s="8" t="s">
        <v>69</v>
      </c>
      <c r="C15" s="8" t="s">
        <v>170</v>
      </c>
      <c r="D15" s="8">
        <v>22</v>
      </c>
      <c r="E15" s="8">
        <v>3</v>
      </c>
      <c r="F15" s="8">
        <v>2</v>
      </c>
      <c r="G15" s="8">
        <v>3</v>
      </c>
      <c r="H15" s="8">
        <v>4</v>
      </c>
      <c r="I15" s="8">
        <v>2</v>
      </c>
    </row>
    <row r="16" spans="1:9" x14ac:dyDescent="0.2">
      <c r="A16" s="8" t="s">
        <v>71</v>
      </c>
      <c r="B16" s="8" t="s">
        <v>69</v>
      </c>
      <c r="C16" s="8" t="s">
        <v>169</v>
      </c>
      <c r="D16" s="8">
        <v>21</v>
      </c>
      <c r="E16" s="8">
        <v>3</v>
      </c>
      <c r="F16" s="8">
        <v>2</v>
      </c>
      <c r="G16" s="8">
        <v>2</v>
      </c>
      <c r="H16" s="8">
        <v>5</v>
      </c>
      <c r="I16" s="8">
        <v>4</v>
      </c>
    </row>
    <row r="17" spans="1:9" x14ac:dyDescent="0.2">
      <c r="A17" s="8" t="s">
        <v>72</v>
      </c>
      <c r="B17" s="8" t="s">
        <v>73</v>
      </c>
      <c r="C17" s="8" t="s">
        <v>169</v>
      </c>
      <c r="D17" s="8">
        <v>25</v>
      </c>
      <c r="E17" s="8">
        <v>4</v>
      </c>
      <c r="F17" s="8">
        <v>4</v>
      </c>
      <c r="G17" s="8">
        <v>3</v>
      </c>
      <c r="H17" s="8">
        <v>4</v>
      </c>
      <c r="I17" s="8">
        <v>3</v>
      </c>
    </row>
    <row r="18" spans="1:9" x14ac:dyDescent="0.2">
      <c r="A18" s="8" t="s">
        <v>74</v>
      </c>
      <c r="B18" s="8" t="s">
        <v>73</v>
      </c>
      <c r="C18" s="8" t="s">
        <v>169</v>
      </c>
      <c r="D18" s="8">
        <v>21</v>
      </c>
      <c r="E18" s="8">
        <v>3</v>
      </c>
      <c r="F18" s="8">
        <v>3</v>
      </c>
      <c r="G18" s="8">
        <v>3</v>
      </c>
      <c r="H18" s="8">
        <v>4</v>
      </c>
      <c r="I18" s="8">
        <v>4</v>
      </c>
    </row>
    <row r="19" spans="1:9" x14ac:dyDescent="0.2">
      <c r="A19" s="8" t="s">
        <v>75</v>
      </c>
      <c r="B19" s="8" t="s">
        <v>73</v>
      </c>
      <c r="C19" s="8" t="s">
        <v>169</v>
      </c>
      <c r="D19" s="8">
        <v>23</v>
      </c>
      <c r="E19" s="8">
        <v>3</v>
      </c>
      <c r="F19" s="8">
        <v>5</v>
      </c>
      <c r="G19" s="8">
        <v>5</v>
      </c>
      <c r="H19" s="8">
        <v>3</v>
      </c>
      <c r="I19" s="8">
        <v>4</v>
      </c>
    </row>
    <row r="20" spans="1:9" x14ac:dyDescent="0.2">
      <c r="A20" s="8" t="s">
        <v>76</v>
      </c>
      <c r="B20" s="8" t="s">
        <v>77</v>
      </c>
      <c r="C20" s="8" t="s">
        <v>170</v>
      </c>
      <c r="D20" s="8">
        <v>21</v>
      </c>
      <c r="E20" s="8">
        <v>2</v>
      </c>
      <c r="F20" s="8">
        <v>3</v>
      </c>
      <c r="G20" s="8">
        <v>3</v>
      </c>
      <c r="H20" s="8">
        <v>3</v>
      </c>
      <c r="I20" s="8">
        <v>5</v>
      </c>
    </row>
    <row r="21" spans="1:9" x14ac:dyDescent="0.2">
      <c r="A21" s="8" t="s">
        <v>78</v>
      </c>
      <c r="B21" s="8" t="s">
        <v>77</v>
      </c>
      <c r="C21" s="8" t="s">
        <v>170</v>
      </c>
      <c r="D21" s="8">
        <v>24</v>
      </c>
      <c r="E21" s="8">
        <v>4</v>
      </c>
      <c r="F21" s="8">
        <v>3</v>
      </c>
      <c r="G21" s="8">
        <v>3</v>
      </c>
      <c r="H21" s="8">
        <v>4</v>
      </c>
      <c r="I21" s="8">
        <v>3</v>
      </c>
    </row>
    <row r="22" spans="1:9" x14ac:dyDescent="0.2">
      <c r="A22" s="8" t="s">
        <v>79</v>
      </c>
      <c r="B22" s="8" t="s">
        <v>77</v>
      </c>
      <c r="C22" s="8" t="s">
        <v>170</v>
      </c>
      <c r="D22" s="8">
        <v>20</v>
      </c>
      <c r="E22" s="8">
        <v>3</v>
      </c>
      <c r="F22" s="8">
        <v>4</v>
      </c>
      <c r="G22" s="8">
        <v>4</v>
      </c>
      <c r="H22" s="8">
        <v>5</v>
      </c>
      <c r="I22" s="8">
        <v>4</v>
      </c>
    </row>
    <row r="23" spans="1:9" x14ac:dyDescent="0.2">
      <c r="A23" s="8" t="s">
        <v>80</v>
      </c>
      <c r="B23" s="8" t="s">
        <v>81</v>
      </c>
      <c r="C23" s="8" t="s">
        <v>170</v>
      </c>
      <c r="D23" s="8">
        <v>21</v>
      </c>
      <c r="E23" s="8">
        <v>3</v>
      </c>
      <c r="F23" s="8">
        <v>3</v>
      </c>
      <c r="G23" s="8">
        <v>3</v>
      </c>
      <c r="H23" s="8">
        <v>4</v>
      </c>
      <c r="I23" s="8">
        <v>3</v>
      </c>
    </row>
    <row r="24" spans="1:9" x14ac:dyDescent="0.2">
      <c r="A24" s="8" t="s">
        <v>82</v>
      </c>
      <c r="B24" s="8" t="s">
        <v>81</v>
      </c>
      <c r="C24" s="8" t="s">
        <v>169</v>
      </c>
      <c r="D24" s="8">
        <v>21</v>
      </c>
      <c r="E24" s="8">
        <v>2</v>
      </c>
      <c r="F24" s="8">
        <v>5</v>
      </c>
      <c r="G24" s="8">
        <v>5</v>
      </c>
      <c r="H24" s="8">
        <v>3</v>
      </c>
      <c r="I24" s="8">
        <v>4</v>
      </c>
    </row>
    <row r="25" spans="1:9" x14ac:dyDescent="0.2">
      <c r="A25" s="8" t="s">
        <v>83</v>
      </c>
      <c r="B25" s="8" t="s">
        <v>81</v>
      </c>
      <c r="C25" s="8" t="s">
        <v>169</v>
      </c>
      <c r="D25" s="8">
        <v>22</v>
      </c>
      <c r="E25" s="8">
        <v>3</v>
      </c>
      <c r="F25" s="8">
        <v>2</v>
      </c>
      <c r="G25" s="8">
        <v>2</v>
      </c>
      <c r="H25" s="8">
        <v>5</v>
      </c>
      <c r="I25" s="8">
        <v>2</v>
      </c>
    </row>
    <row r="26" spans="1:9" x14ac:dyDescent="0.2">
      <c r="A26" s="8" t="s">
        <v>84</v>
      </c>
      <c r="B26" s="8" t="s">
        <v>85</v>
      </c>
      <c r="C26" s="8" t="s">
        <v>169</v>
      </c>
      <c r="D26" s="8">
        <v>21</v>
      </c>
      <c r="E26" s="8">
        <v>3</v>
      </c>
      <c r="F26" s="8">
        <v>3</v>
      </c>
      <c r="G26" s="8">
        <v>3</v>
      </c>
      <c r="H26" s="8">
        <v>4</v>
      </c>
      <c r="I26" s="8">
        <v>3</v>
      </c>
    </row>
    <row r="27" spans="1:9" x14ac:dyDescent="0.2">
      <c r="A27" s="8" t="s">
        <v>86</v>
      </c>
      <c r="B27" s="8" t="s">
        <v>85</v>
      </c>
      <c r="C27" s="8" t="s">
        <v>169</v>
      </c>
      <c r="D27" s="8">
        <v>21</v>
      </c>
      <c r="E27" s="8">
        <v>2</v>
      </c>
      <c r="F27" s="8">
        <v>3</v>
      </c>
      <c r="G27" s="8">
        <v>3</v>
      </c>
      <c r="H27" s="8">
        <v>5</v>
      </c>
      <c r="I27" s="8">
        <v>2</v>
      </c>
    </row>
    <row r="28" spans="1:9" x14ac:dyDescent="0.2">
      <c r="A28" s="8" t="s">
        <v>87</v>
      </c>
      <c r="B28" s="8" t="s">
        <v>85</v>
      </c>
      <c r="C28" s="8" t="s">
        <v>169</v>
      </c>
      <c r="D28" s="8">
        <v>20</v>
      </c>
      <c r="E28" s="8">
        <v>2</v>
      </c>
      <c r="F28" s="8">
        <v>2</v>
      </c>
      <c r="G28" s="8">
        <v>2</v>
      </c>
      <c r="H28" s="8">
        <v>3</v>
      </c>
      <c r="I28" s="8">
        <v>3</v>
      </c>
    </row>
    <row r="29" spans="1:9" x14ac:dyDescent="0.2">
      <c r="A29" s="8" t="s">
        <v>88</v>
      </c>
      <c r="B29" s="8" t="s">
        <v>89</v>
      </c>
      <c r="C29" s="8" t="s">
        <v>169</v>
      </c>
      <c r="D29" s="8">
        <v>19</v>
      </c>
      <c r="E29" s="8">
        <v>2</v>
      </c>
      <c r="F29" s="8">
        <v>4</v>
      </c>
      <c r="G29" s="8">
        <v>4</v>
      </c>
      <c r="H29" s="8">
        <v>2</v>
      </c>
      <c r="I29" s="8">
        <v>2</v>
      </c>
    </row>
    <row r="30" spans="1:9" x14ac:dyDescent="0.2">
      <c r="A30" s="8" t="s">
        <v>90</v>
      </c>
      <c r="B30" s="8" t="s">
        <v>89</v>
      </c>
      <c r="C30" s="8" t="s">
        <v>169</v>
      </c>
      <c r="D30" s="8">
        <v>20</v>
      </c>
      <c r="E30" s="8">
        <v>3</v>
      </c>
      <c r="F30" s="8">
        <v>3</v>
      </c>
      <c r="G30" s="8">
        <v>3</v>
      </c>
      <c r="H30" s="8">
        <v>4</v>
      </c>
      <c r="I30" s="8">
        <v>4</v>
      </c>
    </row>
    <row r="31" spans="1:9" x14ac:dyDescent="0.2">
      <c r="A31" s="8" t="s">
        <v>91</v>
      </c>
      <c r="B31" s="8" t="s">
        <v>89</v>
      </c>
      <c r="C31" s="8" t="s">
        <v>170</v>
      </c>
      <c r="D31" s="8">
        <v>20</v>
      </c>
      <c r="E31" s="8">
        <v>2</v>
      </c>
      <c r="F31" s="8">
        <v>3</v>
      </c>
      <c r="G31" s="8">
        <v>3</v>
      </c>
      <c r="H31" s="8">
        <v>4</v>
      </c>
      <c r="I31" s="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zoomScale="94" zoomScaleNormal="87" workbookViewId="0">
      <pane xSplit="5" ySplit="2" topLeftCell="F3" activePane="bottomRight" state="frozen"/>
      <selection pane="topRight" activeCell="F1" sqref="F1"/>
      <selection pane="bottomLeft" activeCell="A3" sqref="A3"/>
      <selection pane="bottomRight" sqref="A1:E1"/>
    </sheetView>
  </sheetViews>
  <sheetFormatPr baseColWidth="10" defaultColWidth="8.6640625" defaultRowHeight="15" x14ac:dyDescent="0.2"/>
  <cols>
    <col min="1" max="39" width="14" style="4" customWidth="1"/>
    <col min="40" max="16384" width="8.6640625" style="4"/>
  </cols>
  <sheetData>
    <row r="1" spans="1:39" s="11" customFormat="1" ht="150" customHeight="1" x14ac:dyDescent="0.2">
      <c r="A1" s="13" t="s">
        <v>0</v>
      </c>
      <c r="B1" s="13"/>
      <c r="C1" s="13"/>
      <c r="D1" s="13"/>
      <c r="E1" s="13"/>
      <c r="F1" s="13" t="s">
        <v>1</v>
      </c>
      <c r="G1" s="13"/>
      <c r="H1" s="13"/>
      <c r="I1" s="13"/>
      <c r="J1" s="13"/>
      <c r="K1" s="13"/>
      <c r="L1" s="13"/>
      <c r="M1" s="13"/>
      <c r="N1" s="13"/>
      <c r="O1" s="13"/>
      <c r="P1" s="13" t="s">
        <v>2</v>
      </c>
      <c r="Q1" s="13"/>
      <c r="R1" s="13"/>
      <c r="S1" s="13"/>
      <c r="T1" s="13"/>
      <c r="U1" s="13"/>
      <c r="V1" s="13"/>
      <c r="W1" s="13"/>
      <c r="X1" s="13"/>
      <c r="Y1" s="13"/>
      <c r="Z1" s="13" t="s">
        <v>3</v>
      </c>
      <c r="AA1" s="13"/>
      <c r="AB1" s="13"/>
      <c r="AC1" s="13" t="s">
        <v>4</v>
      </c>
      <c r="AD1" s="13"/>
      <c r="AE1" s="13"/>
      <c r="AF1" s="13"/>
      <c r="AG1" s="13" t="s">
        <v>5</v>
      </c>
      <c r="AH1" s="13"/>
      <c r="AI1" s="13" t="s">
        <v>6</v>
      </c>
      <c r="AJ1" s="13"/>
      <c r="AK1" s="13"/>
      <c r="AL1" s="13"/>
      <c r="AM1" s="13"/>
    </row>
    <row r="2" spans="1:39" s="11" customFormat="1" ht="150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</row>
    <row r="3" spans="1:39" x14ac:dyDescent="0.2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>
        <v>6</v>
      </c>
      <c r="G3" s="2">
        <v>6</v>
      </c>
      <c r="H3" s="2">
        <v>6</v>
      </c>
      <c r="I3" s="2">
        <v>6</v>
      </c>
      <c r="J3" s="2">
        <v>6</v>
      </c>
      <c r="K3" s="2">
        <v>6</v>
      </c>
      <c r="L3" s="2">
        <v>5</v>
      </c>
      <c r="M3" s="2">
        <v>6</v>
      </c>
      <c r="N3" s="2">
        <v>6</v>
      </c>
      <c r="O3" s="2">
        <v>6</v>
      </c>
      <c r="P3" s="2">
        <v>7</v>
      </c>
      <c r="Q3" s="2">
        <v>7</v>
      </c>
      <c r="R3" s="2">
        <v>7</v>
      </c>
      <c r="S3" s="2">
        <v>7</v>
      </c>
      <c r="T3" s="2">
        <v>7</v>
      </c>
      <c r="U3" s="2">
        <v>7</v>
      </c>
      <c r="V3" s="2">
        <v>7</v>
      </c>
      <c r="W3" s="2">
        <v>7</v>
      </c>
      <c r="X3" s="2">
        <v>7</v>
      </c>
      <c r="Y3" s="2">
        <v>7</v>
      </c>
      <c r="Z3" s="2">
        <v>4</v>
      </c>
      <c r="AA3" s="2">
        <v>6</v>
      </c>
      <c r="AB3" s="2">
        <v>5</v>
      </c>
      <c r="AC3" s="2">
        <v>6</v>
      </c>
      <c r="AD3" s="2">
        <v>6</v>
      </c>
      <c r="AE3" s="2">
        <v>3</v>
      </c>
      <c r="AF3" s="2">
        <v>2</v>
      </c>
      <c r="AG3" s="2">
        <v>7</v>
      </c>
      <c r="AH3" s="2">
        <v>6</v>
      </c>
      <c r="AI3" s="3">
        <f t="shared" ref="AI3:AI34" si="0">IF(COUNT(F3:O3)=0,"",AVERAGE(F3:O3))</f>
        <v>5.9</v>
      </c>
      <c r="AJ3" s="3">
        <f t="shared" ref="AJ3:AJ34" si="1">IF(COUNT(P3:Y3)=0,"",AVERAGE(P3:Y3))</f>
        <v>7</v>
      </c>
      <c r="AK3" s="3">
        <f t="shared" ref="AK3:AK34" si="2">IF(COUNT(Z3:AB3)=0,"",AVERAGE(Z3:AB3))</f>
        <v>5</v>
      </c>
      <c r="AL3" s="3">
        <f t="shared" ref="AL3:AL34" si="3">IF(COUNT(AC3:AF3)=0,"",AVERAGE(AC3:AF3))</f>
        <v>4.25</v>
      </c>
      <c r="AM3" s="3">
        <f t="shared" ref="AM3:AM34" si="4">IF(COUNT(AG3:AH3)=0,"",AVERAGE(AG3:AH3))</f>
        <v>6.5</v>
      </c>
    </row>
    <row r="4" spans="1:39" x14ac:dyDescent="0.2">
      <c r="A4" s="2" t="s">
        <v>46</v>
      </c>
      <c r="B4" s="2" t="s">
        <v>47</v>
      </c>
      <c r="C4" s="2" t="s">
        <v>51</v>
      </c>
      <c r="D4" s="2" t="s">
        <v>52</v>
      </c>
      <c r="E4" s="2" t="s">
        <v>53</v>
      </c>
      <c r="F4" s="2">
        <v>6</v>
      </c>
      <c r="G4" s="2">
        <v>6</v>
      </c>
      <c r="H4" s="2">
        <v>6</v>
      </c>
      <c r="I4" s="2">
        <v>6</v>
      </c>
      <c r="J4" s="2">
        <v>4</v>
      </c>
      <c r="K4" s="2">
        <v>6</v>
      </c>
      <c r="L4" s="2">
        <v>5</v>
      </c>
      <c r="M4" s="2">
        <v>6</v>
      </c>
      <c r="N4" s="2">
        <v>5</v>
      </c>
      <c r="O4" s="2">
        <v>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>
        <f t="shared" si="0"/>
        <v>5.4</v>
      </c>
      <c r="AJ4" s="3" t="str">
        <f t="shared" si="1"/>
        <v/>
      </c>
      <c r="AK4" s="3" t="str">
        <f t="shared" si="2"/>
        <v/>
      </c>
      <c r="AL4" s="3" t="str">
        <f t="shared" si="3"/>
        <v/>
      </c>
      <c r="AM4" s="3" t="str">
        <f t="shared" si="4"/>
        <v/>
      </c>
    </row>
    <row r="5" spans="1:39" x14ac:dyDescent="0.2">
      <c r="A5" s="2" t="s">
        <v>54</v>
      </c>
      <c r="B5" s="2" t="s">
        <v>47</v>
      </c>
      <c r="C5" s="2" t="s">
        <v>48</v>
      </c>
      <c r="D5" s="2" t="s">
        <v>49</v>
      </c>
      <c r="E5" s="2" t="s">
        <v>50</v>
      </c>
      <c r="F5" s="2">
        <v>6</v>
      </c>
      <c r="G5" s="2">
        <v>6</v>
      </c>
      <c r="H5" s="2">
        <v>7</v>
      </c>
      <c r="I5" s="2">
        <v>6</v>
      </c>
      <c r="J5" s="2">
        <v>7</v>
      </c>
      <c r="K5" s="2">
        <v>7</v>
      </c>
      <c r="L5" s="2">
        <v>7</v>
      </c>
      <c r="M5" s="2">
        <v>6</v>
      </c>
      <c r="N5" s="2">
        <v>6</v>
      </c>
      <c r="O5" s="2">
        <v>6</v>
      </c>
      <c r="P5" s="2">
        <v>6</v>
      </c>
      <c r="Q5" s="2">
        <v>7</v>
      </c>
      <c r="R5" s="2">
        <v>7</v>
      </c>
      <c r="S5" s="2">
        <v>2</v>
      </c>
      <c r="T5" s="2">
        <v>7</v>
      </c>
      <c r="U5" s="2">
        <v>6</v>
      </c>
      <c r="V5" s="2">
        <v>6</v>
      </c>
      <c r="W5" s="2">
        <v>7</v>
      </c>
      <c r="X5" s="2">
        <v>7</v>
      </c>
      <c r="Y5" s="2">
        <v>7</v>
      </c>
      <c r="Z5" s="2">
        <v>6</v>
      </c>
      <c r="AA5" s="2">
        <v>5</v>
      </c>
      <c r="AB5" s="2">
        <v>5</v>
      </c>
      <c r="AC5" s="2">
        <v>6</v>
      </c>
      <c r="AD5" s="2">
        <v>4</v>
      </c>
      <c r="AE5" s="2">
        <v>3</v>
      </c>
      <c r="AF5" s="2">
        <v>3</v>
      </c>
      <c r="AG5" s="2">
        <v>6</v>
      </c>
      <c r="AH5" s="2">
        <v>6</v>
      </c>
      <c r="AI5" s="3">
        <f t="shared" si="0"/>
        <v>6.4</v>
      </c>
      <c r="AJ5" s="3">
        <f t="shared" si="1"/>
        <v>6.2</v>
      </c>
      <c r="AK5" s="3">
        <f t="shared" si="2"/>
        <v>5.333333333333333</v>
      </c>
      <c r="AL5" s="3">
        <f t="shared" si="3"/>
        <v>4</v>
      </c>
      <c r="AM5" s="3">
        <f t="shared" si="4"/>
        <v>6</v>
      </c>
    </row>
    <row r="6" spans="1:39" x14ac:dyDescent="0.2">
      <c r="A6" s="2" t="s">
        <v>54</v>
      </c>
      <c r="B6" s="2" t="s">
        <v>47</v>
      </c>
      <c r="C6" s="2" t="s">
        <v>51</v>
      </c>
      <c r="D6" s="2" t="s">
        <v>52</v>
      </c>
      <c r="E6" s="2" t="s">
        <v>53</v>
      </c>
      <c r="F6" s="2">
        <v>4</v>
      </c>
      <c r="G6" s="2">
        <v>5</v>
      </c>
      <c r="H6" s="2">
        <v>4</v>
      </c>
      <c r="I6" s="2">
        <v>5</v>
      </c>
      <c r="J6" s="2">
        <v>3</v>
      </c>
      <c r="K6" s="2">
        <v>5</v>
      </c>
      <c r="L6" s="2">
        <v>5</v>
      </c>
      <c r="M6" s="2">
        <v>4</v>
      </c>
      <c r="N6" s="2">
        <v>6</v>
      </c>
      <c r="O6" s="2">
        <v>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>
        <f t="shared" si="0"/>
        <v>4.7</v>
      </c>
      <c r="AJ6" s="3" t="str">
        <f t="shared" si="1"/>
        <v/>
      </c>
      <c r="AK6" s="3" t="str">
        <f t="shared" si="2"/>
        <v/>
      </c>
      <c r="AL6" s="3" t="str">
        <f t="shared" si="3"/>
        <v/>
      </c>
      <c r="AM6" s="3" t="str">
        <f t="shared" si="4"/>
        <v/>
      </c>
    </row>
    <row r="7" spans="1:39" x14ac:dyDescent="0.2">
      <c r="A7" s="2" t="s">
        <v>55</v>
      </c>
      <c r="B7" s="2" t="s">
        <v>47</v>
      </c>
      <c r="C7" s="2" t="s">
        <v>48</v>
      </c>
      <c r="D7" s="2" t="s">
        <v>49</v>
      </c>
      <c r="E7" s="2" t="s">
        <v>50</v>
      </c>
      <c r="F7" s="2">
        <v>6</v>
      </c>
      <c r="G7" s="2">
        <v>7</v>
      </c>
      <c r="H7" s="2">
        <v>6</v>
      </c>
      <c r="I7" s="2">
        <v>6</v>
      </c>
      <c r="J7" s="2">
        <v>6</v>
      </c>
      <c r="K7" s="2">
        <v>6</v>
      </c>
      <c r="L7" s="2">
        <v>6</v>
      </c>
      <c r="M7" s="2">
        <v>7</v>
      </c>
      <c r="N7" s="2">
        <v>7</v>
      </c>
      <c r="O7" s="2">
        <v>7</v>
      </c>
      <c r="P7" s="2">
        <v>6</v>
      </c>
      <c r="Q7" s="2">
        <v>5</v>
      </c>
      <c r="R7" s="2">
        <v>6</v>
      </c>
      <c r="S7" s="2">
        <v>4</v>
      </c>
      <c r="T7" s="2">
        <v>6</v>
      </c>
      <c r="U7" s="2">
        <v>6</v>
      </c>
      <c r="V7" s="2">
        <v>6</v>
      </c>
      <c r="W7" s="2">
        <v>6</v>
      </c>
      <c r="X7" s="2">
        <v>6</v>
      </c>
      <c r="Y7" s="2">
        <v>6</v>
      </c>
      <c r="Z7" s="2">
        <v>5</v>
      </c>
      <c r="AA7" s="2">
        <v>4</v>
      </c>
      <c r="AB7" s="2">
        <v>5</v>
      </c>
      <c r="AC7" s="2">
        <v>4</v>
      </c>
      <c r="AD7" s="2">
        <v>2</v>
      </c>
      <c r="AE7" s="2">
        <v>1</v>
      </c>
      <c r="AF7" s="2">
        <v>2</v>
      </c>
      <c r="AG7" s="2">
        <v>7</v>
      </c>
      <c r="AH7" s="2">
        <v>7</v>
      </c>
      <c r="AI7" s="3">
        <f t="shared" si="0"/>
        <v>6.4</v>
      </c>
      <c r="AJ7" s="3">
        <f t="shared" si="1"/>
        <v>5.7</v>
      </c>
      <c r="AK7" s="3">
        <f t="shared" si="2"/>
        <v>4.666666666666667</v>
      </c>
      <c r="AL7" s="3">
        <f t="shared" si="3"/>
        <v>2.25</v>
      </c>
      <c r="AM7" s="3">
        <f t="shared" si="4"/>
        <v>7</v>
      </c>
    </row>
    <row r="8" spans="1:39" x14ac:dyDescent="0.2">
      <c r="A8" s="2" t="s">
        <v>55</v>
      </c>
      <c r="B8" s="2" t="s">
        <v>47</v>
      </c>
      <c r="C8" s="2" t="s">
        <v>51</v>
      </c>
      <c r="D8" s="2" t="s">
        <v>52</v>
      </c>
      <c r="E8" s="2" t="s">
        <v>53</v>
      </c>
      <c r="F8" s="2">
        <v>6</v>
      </c>
      <c r="G8" s="2">
        <v>5</v>
      </c>
      <c r="H8" s="2">
        <v>4</v>
      </c>
      <c r="I8" s="2">
        <v>4</v>
      </c>
      <c r="J8" s="2">
        <v>4</v>
      </c>
      <c r="K8" s="2">
        <v>5</v>
      </c>
      <c r="L8" s="2">
        <v>4</v>
      </c>
      <c r="M8" s="2">
        <v>5</v>
      </c>
      <c r="N8" s="2">
        <v>6</v>
      </c>
      <c r="O8" s="2">
        <v>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">
        <f t="shared" si="0"/>
        <v>4.7</v>
      </c>
      <c r="AJ8" s="3" t="str">
        <f t="shared" si="1"/>
        <v/>
      </c>
      <c r="AK8" s="3" t="str">
        <f t="shared" si="2"/>
        <v/>
      </c>
      <c r="AL8" s="3" t="str">
        <f t="shared" si="3"/>
        <v/>
      </c>
      <c r="AM8" s="3" t="str">
        <f t="shared" si="4"/>
        <v/>
      </c>
    </row>
    <row r="9" spans="1:39" x14ac:dyDescent="0.2">
      <c r="A9" s="2" t="s">
        <v>56</v>
      </c>
      <c r="B9" s="2" t="s">
        <v>57</v>
      </c>
      <c r="C9" s="2" t="s">
        <v>51</v>
      </c>
      <c r="D9" s="2" t="s">
        <v>49</v>
      </c>
      <c r="E9" s="2" t="s">
        <v>50</v>
      </c>
      <c r="F9" s="2">
        <v>6</v>
      </c>
      <c r="G9" s="2">
        <v>6</v>
      </c>
      <c r="H9" s="2">
        <v>5</v>
      </c>
      <c r="I9" s="2">
        <v>5</v>
      </c>
      <c r="J9" s="2">
        <v>4</v>
      </c>
      <c r="K9" s="2">
        <v>5</v>
      </c>
      <c r="L9" s="2">
        <v>6</v>
      </c>
      <c r="M9" s="2">
        <v>5</v>
      </c>
      <c r="N9" s="2">
        <v>6</v>
      </c>
      <c r="O9" s="2">
        <v>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3">
        <f t="shared" si="0"/>
        <v>5.3</v>
      </c>
      <c r="AJ9" s="3" t="str">
        <f t="shared" si="1"/>
        <v/>
      </c>
      <c r="AK9" s="3" t="str">
        <f t="shared" si="2"/>
        <v/>
      </c>
      <c r="AL9" s="3" t="str">
        <f t="shared" si="3"/>
        <v/>
      </c>
      <c r="AM9" s="3" t="str">
        <f t="shared" si="4"/>
        <v/>
      </c>
    </row>
    <row r="10" spans="1:39" x14ac:dyDescent="0.2">
      <c r="A10" s="2" t="s">
        <v>56</v>
      </c>
      <c r="B10" s="2" t="s">
        <v>57</v>
      </c>
      <c r="C10" s="2" t="s">
        <v>48</v>
      </c>
      <c r="D10" s="2" t="s">
        <v>52</v>
      </c>
      <c r="E10" s="2" t="s">
        <v>53</v>
      </c>
      <c r="F10" s="2">
        <v>6</v>
      </c>
      <c r="G10" s="2">
        <v>7</v>
      </c>
      <c r="H10" s="2">
        <v>6</v>
      </c>
      <c r="I10" s="2">
        <v>7</v>
      </c>
      <c r="J10" s="2">
        <v>6</v>
      </c>
      <c r="K10" s="2">
        <v>7</v>
      </c>
      <c r="L10" s="2">
        <v>7</v>
      </c>
      <c r="M10" s="2">
        <v>6</v>
      </c>
      <c r="N10" s="2">
        <v>7</v>
      </c>
      <c r="O10" s="2">
        <v>6</v>
      </c>
      <c r="P10" s="2">
        <v>7</v>
      </c>
      <c r="Q10" s="2">
        <v>7</v>
      </c>
      <c r="R10" s="2">
        <v>7</v>
      </c>
      <c r="S10" s="2">
        <v>7</v>
      </c>
      <c r="T10" s="2">
        <v>7</v>
      </c>
      <c r="U10" s="2">
        <v>7</v>
      </c>
      <c r="V10" s="2">
        <v>7</v>
      </c>
      <c r="W10" s="2">
        <v>6</v>
      </c>
      <c r="X10" s="2">
        <v>7</v>
      </c>
      <c r="Y10" s="2">
        <v>7</v>
      </c>
      <c r="Z10" s="2">
        <v>6</v>
      </c>
      <c r="AA10" s="2">
        <v>7</v>
      </c>
      <c r="AB10" s="2">
        <v>7</v>
      </c>
      <c r="AC10" s="2">
        <v>4</v>
      </c>
      <c r="AD10" s="2">
        <v>3</v>
      </c>
      <c r="AE10" s="2">
        <v>2</v>
      </c>
      <c r="AF10" s="2">
        <v>3</v>
      </c>
      <c r="AG10" s="2">
        <v>7</v>
      </c>
      <c r="AH10" s="2">
        <v>7</v>
      </c>
      <c r="AI10" s="3">
        <f t="shared" si="0"/>
        <v>6.5</v>
      </c>
      <c r="AJ10" s="3">
        <f t="shared" si="1"/>
        <v>6.9</v>
      </c>
      <c r="AK10" s="3">
        <f t="shared" si="2"/>
        <v>6.666666666666667</v>
      </c>
      <c r="AL10" s="3">
        <f t="shared" si="3"/>
        <v>3</v>
      </c>
      <c r="AM10" s="3">
        <f t="shared" si="4"/>
        <v>7</v>
      </c>
    </row>
    <row r="11" spans="1:39" x14ac:dyDescent="0.2">
      <c r="A11" s="2" t="s">
        <v>58</v>
      </c>
      <c r="B11" s="2" t="s">
        <v>57</v>
      </c>
      <c r="C11" s="2" t="s">
        <v>51</v>
      </c>
      <c r="D11" s="2" t="s">
        <v>49</v>
      </c>
      <c r="E11" s="2" t="s">
        <v>50</v>
      </c>
      <c r="F11" s="2">
        <v>6</v>
      </c>
      <c r="G11" s="2">
        <v>6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6</v>
      </c>
      <c r="N11" s="2">
        <v>6</v>
      </c>
      <c r="O11" s="2">
        <v>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>
        <f t="shared" si="0"/>
        <v>5.4</v>
      </c>
      <c r="AJ11" s="3" t="str">
        <f t="shared" si="1"/>
        <v/>
      </c>
      <c r="AK11" s="3" t="str">
        <f t="shared" si="2"/>
        <v/>
      </c>
      <c r="AL11" s="3" t="str">
        <f t="shared" si="3"/>
        <v/>
      </c>
      <c r="AM11" s="3" t="str">
        <f t="shared" si="4"/>
        <v/>
      </c>
    </row>
    <row r="12" spans="1:39" x14ac:dyDescent="0.2">
      <c r="A12" s="2" t="s">
        <v>58</v>
      </c>
      <c r="B12" s="2" t="s">
        <v>57</v>
      </c>
      <c r="C12" s="2" t="s">
        <v>48</v>
      </c>
      <c r="D12" s="2" t="s">
        <v>52</v>
      </c>
      <c r="E12" s="2" t="s">
        <v>53</v>
      </c>
      <c r="F12" s="2">
        <v>6</v>
      </c>
      <c r="G12" s="2">
        <v>6</v>
      </c>
      <c r="H12" s="2">
        <v>6</v>
      </c>
      <c r="I12" s="2">
        <v>6</v>
      </c>
      <c r="J12" s="2">
        <v>6</v>
      </c>
      <c r="K12" s="2">
        <v>6</v>
      </c>
      <c r="L12" s="2">
        <v>6</v>
      </c>
      <c r="M12" s="2">
        <v>6</v>
      </c>
      <c r="N12" s="2">
        <v>6</v>
      </c>
      <c r="O12" s="2">
        <v>6</v>
      </c>
      <c r="P12" s="2">
        <v>7</v>
      </c>
      <c r="Q12" s="2">
        <v>7</v>
      </c>
      <c r="R12" s="2">
        <v>7</v>
      </c>
      <c r="S12" s="2">
        <v>6</v>
      </c>
      <c r="T12" s="2">
        <v>6</v>
      </c>
      <c r="U12" s="2">
        <v>6</v>
      </c>
      <c r="V12" s="2">
        <v>6</v>
      </c>
      <c r="W12" s="2">
        <v>6</v>
      </c>
      <c r="X12" s="2">
        <v>6</v>
      </c>
      <c r="Y12" s="2">
        <v>6</v>
      </c>
      <c r="Z12" s="2">
        <v>6</v>
      </c>
      <c r="AA12" s="2">
        <v>6</v>
      </c>
      <c r="AB12" s="2">
        <v>6</v>
      </c>
      <c r="AC12" s="2">
        <v>6</v>
      </c>
      <c r="AD12" s="2">
        <v>4</v>
      </c>
      <c r="AE12" s="2">
        <v>2</v>
      </c>
      <c r="AF12" s="2">
        <v>1</v>
      </c>
      <c r="AG12" s="2">
        <v>7</v>
      </c>
      <c r="AH12" s="2">
        <v>7</v>
      </c>
      <c r="AI12" s="3">
        <f t="shared" si="0"/>
        <v>6</v>
      </c>
      <c r="AJ12" s="3">
        <f t="shared" si="1"/>
        <v>6.3</v>
      </c>
      <c r="AK12" s="3">
        <f t="shared" si="2"/>
        <v>6</v>
      </c>
      <c r="AL12" s="3">
        <f t="shared" si="3"/>
        <v>3.25</v>
      </c>
      <c r="AM12" s="3">
        <f t="shared" si="4"/>
        <v>7</v>
      </c>
    </row>
    <row r="13" spans="1:39" x14ac:dyDescent="0.2">
      <c r="A13" s="2" t="s">
        <v>59</v>
      </c>
      <c r="B13" s="2" t="s">
        <v>57</v>
      </c>
      <c r="C13" s="2" t="s">
        <v>51</v>
      </c>
      <c r="D13" s="2" t="s">
        <v>49</v>
      </c>
      <c r="E13" s="2" t="s">
        <v>50</v>
      </c>
      <c r="F13" s="2">
        <v>6</v>
      </c>
      <c r="G13" s="2">
        <v>6</v>
      </c>
      <c r="H13" s="2">
        <v>6</v>
      </c>
      <c r="I13" s="2">
        <v>6</v>
      </c>
      <c r="J13" s="2">
        <v>4</v>
      </c>
      <c r="K13" s="2">
        <v>5</v>
      </c>
      <c r="L13" s="2">
        <v>4</v>
      </c>
      <c r="M13" s="2">
        <v>6</v>
      </c>
      <c r="N13" s="2">
        <v>5</v>
      </c>
      <c r="O13" s="2">
        <v>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3">
        <f t="shared" si="0"/>
        <v>5.4</v>
      </c>
      <c r="AJ13" s="3" t="str">
        <f t="shared" si="1"/>
        <v/>
      </c>
      <c r="AK13" s="3" t="str">
        <f t="shared" si="2"/>
        <v/>
      </c>
      <c r="AL13" s="3" t="str">
        <f t="shared" si="3"/>
        <v/>
      </c>
      <c r="AM13" s="3" t="str">
        <f t="shared" si="4"/>
        <v/>
      </c>
    </row>
    <row r="14" spans="1:39" x14ac:dyDescent="0.2">
      <c r="A14" s="2" t="s">
        <v>59</v>
      </c>
      <c r="B14" s="2" t="s">
        <v>57</v>
      </c>
      <c r="C14" s="2" t="s">
        <v>48</v>
      </c>
      <c r="D14" s="2" t="s">
        <v>52</v>
      </c>
      <c r="E14" s="2" t="s">
        <v>53</v>
      </c>
      <c r="F14" s="2">
        <v>6</v>
      </c>
      <c r="G14" s="2">
        <v>7</v>
      </c>
      <c r="H14" s="2">
        <v>6</v>
      </c>
      <c r="I14" s="2">
        <v>6</v>
      </c>
      <c r="J14" s="2">
        <v>7</v>
      </c>
      <c r="K14" s="2">
        <v>7</v>
      </c>
      <c r="L14" s="2">
        <v>6</v>
      </c>
      <c r="M14" s="2">
        <v>6</v>
      </c>
      <c r="N14" s="2">
        <v>7</v>
      </c>
      <c r="O14" s="2">
        <v>7</v>
      </c>
      <c r="P14" s="2">
        <v>7</v>
      </c>
      <c r="Q14" s="2">
        <v>6</v>
      </c>
      <c r="R14" s="2">
        <v>6</v>
      </c>
      <c r="S14" s="2">
        <v>6</v>
      </c>
      <c r="T14" s="2">
        <v>6</v>
      </c>
      <c r="U14" s="2">
        <v>7</v>
      </c>
      <c r="V14" s="2">
        <v>6</v>
      </c>
      <c r="W14" s="2">
        <v>6</v>
      </c>
      <c r="X14" s="2">
        <v>6</v>
      </c>
      <c r="Y14" s="2">
        <v>5</v>
      </c>
      <c r="Z14" s="2">
        <v>6</v>
      </c>
      <c r="AA14" s="2">
        <v>6</v>
      </c>
      <c r="AB14" s="2">
        <v>5</v>
      </c>
      <c r="AC14" s="2">
        <v>6</v>
      </c>
      <c r="AD14" s="2">
        <v>4</v>
      </c>
      <c r="AE14" s="2">
        <v>2</v>
      </c>
      <c r="AF14" s="2">
        <v>2</v>
      </c>
      <c r="AG14" s="2">
        <v>6</v>
      </c>
      <c r="AH14" s="2">
        <v>6</v>
      </c>
      <c r="AI14" s="3">
        <f t="shared" si="0"/>
        <v>6.5</v>
      </c>
      <c r="AJ14" s="3">
        <f t="shared" si="1"/>
        <v>6.1</v>
      </c>
      <c r="AK14" s="3">
        <f t="shared" si="2"/>
        <v>5.666666666666667</v>
      </c>
      <c r="AL14" s="3">
        <f t="shared" si="3"/>
        <v>3.5</v>
      </c>
      <c r="AM14" s="3">
        <f t="shared" si="4"/>
        <v>6</v>
      </c>
    </row>
    <row r="15" spans="1:39" x14ac:dyDescent="0.2">
      <c r="A15" s="2" t="s">
        <v>60</v>
      </c>
      <c r="B15" s="2" t="s">
        <v>61</v>
      </c>
      <c r="C15" s="2" t="s">
        <v>48</v>
      </c>
      <c r="D15" s="2" t="s">
        <v>49</v>
      </c>
      <c r="E15" s="2" t="s">
        <v>53</v>
      </c>
      <c r="F15" s="2">
        <v>6</v>
      </c>
      <c r="G15" s="2">
        <v>6</v>
      </c>
      <c r="H15" s="2">
        <v>6</v>
      </c>
      <c r="I15" s="2">
        <v>6</v>
      </c>
      <c r="J15" s="2">
        <v>6</v>
      </c>
      <c r="K15" s="2">
        <v>5</v>
      </c>
      <c r="L15" s="2">
        <v>6</v>
      </c>
      <c r="M15" s="2">
        <v>5</v>
      </c>
      <c r="N15" s="2">
        <v>6</v>
      </c>
      <c r="O15" s="2">
        <v>6</v>
      </c>
      <c r="P15" s="2">
        <v>6</v>
      </c>
      <c r="Q15" s="2">
        <v>6</v>
      </c>
      <c r="R15" s="2">
        <v>6</v>
      </c>
      <c r="S15" s="2">
        <v>6</v>
      </c>
      <c r="T15" s="2">
        <v>6</v>
      </c>
      <c r="U15" s="2">
        <v>6</v>
      </c>
      <c r="V15" s="2">
        <v>6</v>
      </c>
      <c r="W15" s="2">
        <v>6</v>
      </c>
      <c r="X15" s="2">
        <v>6</v>
      </c>
      <c r="Y15" s="2">
        <v>5</v>
      </c>
      <c r="Z15" s="2">
        <v>6</v>
      </c>
      <c r="AA15" s="2">
        <v>6</v>
      </c>
      <c r="AB15" s="2">
        <v>6</v>
      </c>
      <c r="AC15" s="2">
        <v>6</v>
      </c>
      <c r="AD15" s="2">
        <v>3</v>
      </c>
      <c r="AE15" s="2">
        <v>3</v>
      </c>
      <c r="AF15" s="2">
        <v>2</v>
      </c>
      <c r="AG15" s="2">
        <v>6</v>
      </c>
      <c r="AH15" s="2">
        <v>5</v>
      </c>
      <c r="AI15" s="3">
        <f t="shared" si="0"/>
        <v>5.8</v>
      </c>
      <c r="AJ15" s="3">
        <f t="shared" si="1"/>
        <v>5.9</v>
      </c>
      <c r="AK15" s="3">
        <f t="shared" si="2"/>
        <v>6</v>
      </c>
      <c r="AL15" s="3">
        <f t="shared" si="3"/>
        <v>3.5</v>
      </c>
      <c r="AM15" s="3">
        <f t="shared" si="4"/>
        <v>5.5</v>
      </c>
    </row>
    <row r="16" spans="1:39" x14ac:dyDescent="0.2">
      <c r="A16" s="2" t="s">
        <v>60</v>
      </c>
      <c r="B16" s="2" t="s">
        <v>61</v>
      </c>
      <c r="C16" s="2" t="s">
        <v>51</v>
      </c>
      <c r="D16" s="2" t="s">
        <v>52</v>
      </c>
      <c r="E16" s="2" t="s">
        <v>50</v>
      </c>
      <c r="F16" s="2">
        <v>6</v>
      </c>
      <c r="G16" s="2">
        <v>6</v>
      </c>
      <c r="H16" s="2">
        <v>5</v>
      </c>
      <c r="I16" s="2">
        <v>6</v>
      </c>
      <c r="J16" s="2">
        <v>4</v>
      </c>
      <c r="K16" s="2">
        <v>5</v>
      </c>
      <c r="L16" s="2">
        <v>4</v>
      </c>
      <c r="M16" s="2">
        <v>5</v>
      </c>
      <c r="N16" s="2">
        <v>5</v>
      </c>
      <c r="O16" s="2">
        <v>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3">
        <f t="shared" si="0"/>
        <v>5.2</v>
      </c>
      <c r="AJ16" s="3" t="str">
        <f t="shared" si="1"/>
        <v/>
      </c>
      <c r="AK16" s="3" t="str">
        <f t="shared" si="2"/>
        <v/>
      </c>
      <c r="AL16" s="3" t="str">
        <f t="shared" si="3"/>
        <v/>
      </c>
      <c r="AM16" s="3" t="str">
        <f t="shared" si="4"/>
        <v/>
      </c>
    </row>
    <row r="17" spans="1:39" x14ac:dyDescent="0.2">
      <c r="A17" s="2" t="s">
        <v>62</v>
      </c>
      <c r="B17" s="2" t="s">
        <v>61</v>
      </c>
      <c r="C17" s="2" t="s">
        <v>48</v>
      </c>
      <c r="D17" s="2" t="s">
        <v>49</v>
      </c>
      <c r="E17" s="2" t="s">
        <v>53</v>
      </c>
      <c r="F17" s="2">
        <v>7</v>
      </c>
      <c r="G17" s="2">
        <v>7</v>
      </c>
      <c r="H17" s="2">
        <v>6</v>
      </c>
      <c r="I17" s="2">
        <v>6</v>
      </c>
      <c r="J17" s="2">
        <v>6</v>
      </c>
      <c r="K17" s="2">
        <v>6</v>
      </c>
      <c r="L17" s="2">
        <v>6</v>
      </c>
      <c r="M17" s="2">
        <v>6</v>
      </c>
      <c r="N17" s="2">
        <v>6</v>
      </c>
      <c r="O17" s="2">
        <v>6</v>
      </c>
      <c r="P17" s="2">
        <v>7</v>
      </c>
      <c r="Q17" s="2">
        <v>7</v>
      </c>
      <c r="R17" s="2">
        <v>7</v>
      </c>
      <c r="S17" s="2">
        <v>7</v>
      </c>
      <c r="T17" s="2">
        <v>7</v>
      </c>
      <c r="U17" s="2">
        <v>7</v>
      </c>
      <c r="V17" s="2">
        <v>7</v>
      </c>
      <c r="W17" s="2">
        <v>3</v>
      </c>
      <c r="X17" s="2">
        <v>5</v>
      </c>
      <c r="Y17" s="2">
        <v>5</v>
      </c>
      <c r="Z17" s="2">
        <v>6</v>
      </c>
      <c r="AA17" s="2">
        <v>6</v>
      </c>
      <c r="AB17" s="2">
        <v>6</v>
      </c>
      <c r="AC17" s="2">
        <v>3</v>
      </c>
      <c r="AD17" s="2">
        <v>2</v>
      </c>
      <c r="AE17" s="2">
        <v>6</v>
      </c>
      <c r="AF17" s="2">
        <v>1</v>
      </c>
      <c r="AG17" s="2">
        <v>3</v>
      </c>
      <c r="AH17" s="2">
        <v>2</v>
      </c>
      <c r="AI17" s="3">
        <f t="shared" si="0"/>
        <v>6.2</v>
      </c>
      <c r="AJ17" s="3">
        <f t="shared" si="1"/>
        <v>6.2</v>
      </c>
      <c r="AK17" s="3">
        <f t="shared" si="2"/>
        <v>6</v>
      </c>
      <c r="AL17" s="3">
        <f t="shared" si="3"/>
        <v>3</v>
      </c>
      <c r="AM17" s="3">
        <f t="shared" si="4"/>
        <v>2.5</v>
      </c>
    </row>
    <row r="18" spans="1:39" x14ac:dyDescent="0.2">
      <c r="A18" s="2" t="s">
        <v>62</v>
      </c>
      <c r="B18" s="2" t="s">
        <v>61</v>
      </c>
      <c r="C18" s="2" t="s">
        <v>51</v>
      </c>
      <c r="D18" s="2" t="s">
        <v>52</v>
      </c>
      <c r="E18" s="2" t="s">
        <v>50</v>
      </c>
      <c r="F18" s="2">
        <v>6</v>
      </c>
      <c r="G18" s="2">
        <v>6</v>
      </c>
      <c r="H18" s="2">
        <v>6</v>
      </c>
      <c r="I18" s="2">
        <v>6</v>
      </c>
      <c r="J18" s="2">
        <v>7</v>
      </c>
      <c r="K18" s="2">
        <v>6</v>
      </c>
      <c r="L18" s="2">
        <v>5</v>
      </c>
      <c r="M18" s="2">
        <v>6</v>
      </c>
      <c r="N18" s="2">
        <v>5</v>
      </c>
      <c r="O18" s="2">
        <v>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3">
        <f t="shared" si="0"/>
        <v>5.9</v>
      </c>
      <c r="AJ18" s="3" t="str">
        <f t="shared" si="1"/>
        <v/>
      </c>
      <c r="AK18" s="3" t="str">
        <f t="shared" si="2"/>
        <v/>
      </c>
      <c r="AL18" s="3" t="str">
        <f t="shared" si="3"/>
        <v/>
      </c>
      <c r="AM18" s="3" t="str">
        <f t="shared" si="4"/>
        <v/>
      </c>
    </row>
    <row r="19" spans="1:39" x14ac:dyDescent="0.2">
      <c r="A19" s="2" t="s">
        <v>63</v>
      </c>
      <c r="B19" s="2" t="s">
        <v>61</v>
      </c>
      <c r="C19" s="2" t="s">
        <v>48</v>
      </c>
      <c r="D19" s="2" t="s">
        <v>49</v>
      </c>
      <c r="E19" s="2" t="s">
        <v>53</v>
      </c>
      <c r="F19" s="2">
        <v>6</v>
      </c>
      <c r="G19" s="2">
        <v>6</v>
      </c>
      <c r="H19" s="2">
        <v>7</v>
      </c>
      <c r="I19" s="2">
        <v>6</v>
      </c>
      <c r="J19" s="2">
        <v>6</v>
      </c>
      <c r="K19" s="2">
        <v>6</v>
      </c>
      <c r="L19" s="2">
        <v>6</v>
      </c>
      <c r="M19" s="2">
        <v>5</v>
      </c>
      <c r="N19" s="2">
        <v>6</v>
      </c>
      <c r="O19" s="2">
        <v>4</v>
      </c>
      <c r="P19" s="2">
        <v>7</v>
      </c>
      <c r="Q19" s="2">
        <v>7</v>
      </c>
      <c r="R19" s="2">
        <v>6</v>
      </c>
      <c r="S19" s="2">
        <v>7</v>
      </c>
      <c r="T19" s="2">
        <v>6</v>
      </c>
      <c r="U19" s="2">
        <v>6</v>
      </c>
      <c r="V19" s="2">
        <v>7</v>
      </c>
      <c r="W19" s="2">
        <v>7</v>
      </c>
      <c r="X19" s="2">
        <v>7</v>
      </c>
      <c r="Y19" s="2">
        <v>4</v>
      </c>
      <c r="Z19" s="2">
        <v>4</v>
      </c>
      <c r="AA19" s="2">
        <v>5</v>
      </c>
      <c r="AB19" s="2">
        <v>5</v>
      </c>
      <c r="AC19" s="2">
        <v>3</v>
      </c>
      <c r="AD19" s="2">
        <v>2</v>
      </c>
      <c r="AE19" s="2">
        <v>6</v>
      </c>
      <c r="AF19" s="2">
        <v>4</v>
      </c>
      <c r="AG19" s="2">
        <v>7</v>
      </c>
      <c r="AH19" s="2">
        <v>7</v>
      </c>
      <c r="AI19" s="3">
        <f t="shared" si="0"/>
        <v>5.8</v>
      </c>
      <c r="AJ19" s="3">
        <f t="shared" si="1"/>
        <v>6.4</v>
      </c>
      <c r="AK19" s="3">
        <f t="shared" si="2"/>
        <v>4.666666666666667</v>
      </c>
      <c r="AL19" s="3">
        <f t="shared" si="3"/>
        <v>3.75</v>
      </c>
      <c r="AM19" s="3">
        <f t="shared" si="4"/>
        <v>7</v>
      </c>
    </row>
    <row r="20" spans="1:39" x14ac:dyDescent="0.2">
      <c r="A20" s="2" t="s">
        <v>63</v>
      </c>
      <c r="B20" s="2" t="s">
        <v>61</v>
      </c>
      <c r="C20" s="2" t="s">
        <v>51</v>
      </c>
      <c r="D20" s="2" t="s">
        <v>52</v>
      </c>
      <c r="E20" s="2" t="s">
        <v>50</v>
      </c>
      <c r="F20" s="2">
        <v>6</v>
      </c>
      <c r="G20" s="2">
        <v>6</v>
      </c>
      <c r="H20" s="2">
        <v>5</v>
      </c>
      <c r="I20" s="2">
        <v>6</v>
      </c>
      <c r="J20" s="2">
        <v>6</v>
      </c>
      <c r="K20" s="2">
        <v>5</v>
      </c>
      <c r="L20" s="2">
        <v>6</v>
      </c>
      <c r="M20" s="2">
        <v>5</v>
      </c>
      <c r="N20" s="2">
        <v>5</v>
      </c>
      <c r="O20" s="2">
        <v>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>
        <f t="shared" si="0"/>
        <v>5.6</v>
      </c>
      <c r="AJ20" s="3" t="str">
        <f t="shared" si="1"/>
        <v/>
      </c>
      <c r="AK20" s="3" t="str">
        <f t="shared" si="2"/>
        <v/>
      </c>
      <c r="AL20" s="3" t="str">
        <f t="shared" si="3"/>
        <v/>
      </c>
      <c r="AM20" s="3" t="str">
        <f t="shared" si="4"/>
        <v/>
      </c>
    </row>
    <row r="21" spans="1:39" x14ac:dyDescent="0.2">
      <c r="A21" s="2" t="s">
        <v>64</v>
      </c>
      <c r="B21" s="2" t="s">
        <v>65</v>
      </c>
      <c r="C21" s="2" t="s">
        <v>51</v>
      </c>
      <c r="D21" s="2" t="s">
        <v>49</v>
      </c>
      <c r="E21" s="2" t="s">
        <v>53</v>
      </c>
      <c r="F21" s="2">
        <v>6</v>
      </c>
      <c r="G21" s="2">
        <v>6</v>
      </c>
      <c r="H21" s="2">
        <v>6</v>
      </c>
      <c r="I21" s="2">
        <v>6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>
        <f t="shared" si="0"/>
        <v>5.5</v>
      </c>
      <c r="AJ21" s="3" t="str">
        <f t="shared" si="1"/>
        <v/>
      </c>
      <c r="AK21" s="3" t="str">
        <f t="shared" si="2"/>
        <v/>
      </c>
      <c r="AL21" s="3" t="str">
        <f t="shared" si="3"/>
        <v/>
      </c>
      <c r="AM21" s="3" t="str">
        <f t="shared" si="4"/>
        <v/>
      </c>
    </row>
    <row r="22" spans="1:39" x14ac:dyDescent="0.2">
      <c r="A22" s="2" t="s">
        <v>64</v>
      </c>
      <c r="B22" s="2" t="s">
        <v>65</v>
      </c>
      <c r="C22" s="2" t="s">
        <v>48</v>
      </c>
      <c r="D22" s="2" t="s">
        <v>52</v>
      </c>
      <c r="E22" s="2" t="s">
        <v>50</v>
      </c>
      <c r="F22" s="2">
        <v>6</v>
      </c>
      <c r="G22" s="2">
        <v>6</v>
      </c>
      <c r="H22" s="2">
        <v>6</v>
      </c>
      <c r="I22" s="2">
        <v>6</v>
      </c>
      <c r="J22" s="2">
        <v>5</v>
      </c>
      <c r="K22" s="2">
        <v>6</v>
      </c>
      <c r="L22" s="2">
        <v>6</v>
      </c>
      <c r="M22" s="2">
        <v>6</v>
      </c>
      <c r="N22" s="2">
        <v>6</v>
      </c>
      <c r="O22" s="2">
        <v>6</v>
      </c>
      <c r="P22" s="2">
        <v>6</v>
      </c>
      <c r="Q22" s="2">
        <v>6</v>
      </c>
      <c r="R22" s="2">
        <v>6</v>
      </c>
      <c r="S22" s="2">
        <v>6</v>
      </c>
      <c r="T22" s="2">
        <v>6</v>
      </c>
      <c r="U22" s="2">
        <v>6</v>
      </c>
      <c r="V22" s="2">
        <v>6</v>
      </c>
      <c r="W22" s="2">
        <v>6</v>
      </c>
      <c r="X22" s="2">
        <v>7</v>
      </c>
      <c r="Y22" s="2">
        <v>5</v>
      </c>
      <c r="Z22" s="2">
        <v>6</v>
      </c>
      <c r="AA22" s="2">
        <v>7</v>
      </c>
      <c r="AB22" s="2">
        <v>6</v>
      </c>
      <c r="AC22" s="2">
        <v>6</v>
      </c>
      <c r="AD22" s="2">
        <v>2</v>
      </c>
      <c r="AE22" s="2">
        <v>4</v>
      </c>
      <c r="AF22" s="2">
        <v>2</v>
      </c>
      <c r="AG22" s="2">
        <v>6</v>
      </c>
      <c r="AH22" s="2">
        <v>7</v>
      </c>
      <c r="AI22" s="3">
        <f t="shared" si="0"/>
        <v>5.9</v>
      </c>
      <c r="AJ22" s="3">
        <f t="shared" si="1"/>
        <v>6</v>
      </c>
      <c r="AK22" s="3">
        <f t="shared" si="2"/>
        <v>6.333333333333333</v>
      </c>
      <c r="AL22" s="3">
        <f t="shared" si="3"/>
        <v>3.5</v>
      </c>
      <c r="AM22" s="3">
        <f t="shared" si="4"/>
        <v>6.5</v>
      </c>
    </row>
    <row r="23" spans="1:39" x14ac:dyDescent="0.2">
      <c r="A23" s="2" t="s">
        <v>66</v>
      </c>
      <c r="B23" s="2" t="s">
        <v>65</v>
      </c>
      <c r="C23" s="2" t="s">
        <v>51</v>
      </c>
      <c r="D23" s="2" t="s">
        <v>49</v>
      </c>
      <c r="E23" s="2" t="s">
        <v>53</v>
      </c>
      <c r="F23" s="2">
        <v>7</v>
      </c>
      <c r="G23" s="2">
        <v>7</v>
      </c>
      <c r="H23" s="2">
        <v>5</v>
      </c>
      <c r="I23" s="2">
        <v>4</v>
      </c>
      <c r="J23" s="2">
        <v>4</v>
      </c>
      <c r="K23" s="2">
        <v>5</v>
      </c>
      <c r="L23" s="2">
        <v>5</v>
      </c>
      <c r="M23" s="2">
        <v>5</v>
      </c>
      <c r="N23" s="2">
        <v>5</v>
      </c>
      <c r="O23" s="2">
        <v>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>
        <f t="shared" si="0"/>
        <v>5.2</v>
      </c>
      <c r="AJ23" s="3" t="str">
        <f t="shared" si="1"/>
        <v/>
      </c>
      <c r="AK23" s="3" t="str">
        <f t="shared" si="2"/>
        <v/>
      </c>
      <c r="AL23" s="3" t="str">
        <f t="shared" si="3"/>
        <v/>
      </c>
      <c r="AM23" s="3" t="str">
        <f t="shared" si="4"/>
        <v/>
      </c>
    </row>
    <row r="24" spans="1:39" x14ac:dyDescent="0.2">
      <c r="A24" s="2" t="s">
        <v>66</v>
      </c>
      <c r="B24" s="2" t="s">
        <v>65</v>
      </c>
      <c r="C24" s="2" t="s">
        <v>48</v>
      </c>
      <c r="D24" s="2" t="s">
        <v>52</v>
      </c>
      <c r="E24" s="2" t="s">
        <v>50</v>
      </c>
      <c r="F24" s="2">
        <v>5</v>
      </c>
      <c r="G24" s="2">
        <v>5</v>
      </c>
      <c r="H24" s="2">
        <v>4</v>
      </c>
      <c r="I24" s="2">
        <v>4</v>
      </c>
      <c r="J24" s="2">
        <v>5</v>
      </c>
      <c r="K24" s="2">
        <v>4</v>
      </c>
      <c r="L24" s="2">
        <v>5</v>
      </c>
      <c r="M24" s="2">
        <v>4</v>
      </c>
      <c r="N24" s="2">
        <v>4</v>
      </c>
      <c r="O24" s="2">
        <v>4</v>
      </c>
      <c r="P24" s="2">
        <v>6</v>
      </c>
      <c r="Q24" s="2">
        <v>6</v>
      </c>
      <c r="R24" s="2">
        <v>6</v>
      </c>
      <c r="S24" s="2">
        <v>6</v>
      </c>
      <c r="T24" s="2">
        <v>4</v>
      </c>
      <c r="U24" s="2">
        <v>4</v>
      </c>
      <c r="V24" s="2">
        <v>6</v>
      </c>
      <c r="W24" s="2">
        <v>7</v>
      </c>
      <c r="X24" s="2">
        <v>7</v>
      </c>
      <c r="Y24" s="2">
        <v>7</v>
      </c>
      <c r="Z24" s="2">
        <v>5</v>
      </c>
      <c r="AA24" s="2">
        <v>5</v>
      </c>
      <c r="AB24" s="2">
        <v>5</v>
      </c>
      <c r="AC24" s="2">
        <v>6</v>
      </c>
      <c r="AD24" s="2">
        <v>6</v>
      </c>
      <c r="AE24" s="2">
        <v>4</v>
      </c>
      <c r="AF24" s="2">
        <v>2</v>
      </c>
      <c r="AG24" s="2">
        <v>6</v>
      </c>
      <c r="AH24" s="2">
        <v>7</v>
      </c>
      <c r="AI24" s="3">
        <f t="shared" si="0"/>
        <v>4.4000000000000004</v>
      </c>
      <c r="AJ24" s="3">
        <f t="shared" si="1"/>
        <v>5.9</v>
      </c>
      <c r="AK24" s="3">
        <f t="shared" si="2"/>
        <v>5</v>
      </c>
      <c r="AL24" s="3">
        <f t="shared" si="3"/>
        <v>4.5</v>
      </c>
      <c r="AM24" s="3">
        <f t="shared" si="4"/>
        <v>6.5</v>
      </c>
    </row>
    <row r="25" spans="1:39" x14ac:dyDescent="0.2">
      <c r="A25" s="2" t="s">
        <v>67</v>
      </c>
      <c r="B25" s="2" t="s">
        <v>65</v>
      </c>
      <c r="C25" s="2" t="s">
        <v>51</v>
      </c>
      <c r="D25" s="2" t="s">
        <v>49</v>
      </c>
      <c r="E25" s="2" t="s">
        <v>53</v>
      </c>
      <c r="F25" s="2">
        <v>6</v>
      </c>
      <c r="G25" s="2">
        <v>6</v>
      </c>
      <c r="H25" s="2">
        <v>5</v>
      </c>
      <c r="I25" s="2">
        <v>5</v>
      </c>
      <c r="J25" s="2">
        <v>4</v>
      </c>
      <c r="K25" s="2">
        <v>6</v>
      </c>
      <c r="L25" s="2">
        <v>5</v>
      </c>
      <c r="M25" s="2">
        <v>6</v>
      </c>
      <c r="N25" s="2">
        <v>4</v>
      </c>
      <c r="O25" s="2">
        <v>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>
        <f t="shared" si="0"/>
        <v>5.2</v>
      </c>
      <c r="AJ25" s="3" t="str">
        <f t="shared" si="1"/>
        <v/>
      </c>
      <c r="AK25" s="3" t="str">
        <f t="shared" si="2"/>
        <v/>
      </c>
      <c r="AL25" s="3" t="str">
        <f t="shared" si="3"/>
        <v/>
      </c>
      <c r="AM25" s="3" t="str">
        <f t="shared" si="4"/>
        <v/>
      </c>
    </row>
    <row r="26" spans="1:39" x14ac:dyDescent="0.2">
      <c r="A26" s="2" t="s">
        <v>67</v>
      </c>
      <c r="B26" s="2" t="s">
        <v>65</v>
      </c>
      <c r="C26" s="2" t="s">
        <v>48</v>
      </c>
      <c r="D26" s="2" t="s">
        <v>52</v>
      </c>
      <c r="E26" s="2" t="s">
        <v>50</v>
      </c>
      <c r="F26" s="2">
        <v>7</v>
      </c>
      <c r="G26" s="2">
        <v>7</v>
      </c>
      <c r="H26" s="2">
        <v>7</v>
      </c>
      <c r="I26" s="2">
        <v>7</v>
      </c>
      <c r="J26" s="2">
        <v>7</v>
      </c>
      <c r="K26" s="2">
        <v>7</v>
      </c>
      <c r="L26" s="2">
        <v>7</v>
      </c>
      <c r="M26" s="2">
        <v>7</v>
      </c>
      <c r="N26" s="2">
        <v>5</v>
      </c>
      <c r="O26" s="2">
        <v>4</v>
      </c>
      <c r="P26" s="2">
        <v>2</v>
      </c>
      <c r="Q26" s="2">
        <v>7</v>
      </c>
      <c r="R26" s="2">
        <v>6</v>
      </c>
      <c r="S26" s="2">
        <v>2</v>
      </c>
      <c r="T26" s="2">
        <v>6</v>
      </c>
      <c r="U26" s="2">
        <v>6</v>
      </c>
      <c r="V26" s="2">
        <v>6</v>
      </c>
      <c r="W26" s="2">
        <v>5</v>
      </c>
      <c r="X26" s="2">
        <v>7</v>
      </c>
      <c r="Y26" s="2">
        <v>7</v>
      </c>
      <c r="Z26" s="2">
        <v>6</v>
      </c>
      <c r="AA26" s="2">
        <v>7</v>
      </c>
      <c r="AB26" s="2">
        <v>6</v>
      </c>
      <c r="AC26" s="2">
        <v>5</v>
      </c>
      <c r="AD26" s="2">
        <v>2</v>
      </c>
      <c r="AE26" s="2">
        <v>2</v>
      </c>
      <c r="AF26" s="2">
        <v>1</v>
      </c>
      <c r="AG26" s="2">
        <v>7</v>
      </c>
      <c r="AH26" s="2">
        <v>7</v>
      </c>
      <c r="AI26" s="3">
        <f t="shared" si="0"/>
        <v>6.5</v>
      </c>
      <c r="AJ26" s="3">
        <f t="shared" si="1"/>
        <v>5.4</v>
      </c>
      <c r="AK26" s="3">
        <f t="shared" si="2"/>
        <v>6.333333333333333</v>
      </c>
      <c r="AL26" s="3">
        <f t="shared" si="3"/>
        <v>2.5</v>
      </c>
      <c r="AM26" s="3">
        <f t="shared" si="4"/>
        <v>7</v>
      </c>
    </row>
    <row r="27" spans="1:39" x14ac:dyDescent="0.2">
      <c r="A27" s="2" t="s">
        <v>68</v>
      </c>
      <c r="B27" s="2" t="s">
        <v>69</v>
      </c>
      <c r="C27" s="2" t="s">
        <v>48</v>
      </c>
      <c r="D27" s="2" t="s">
        <v>49</v>
      </c>
      <c r="E27" s="2" t="s">
        <v>50</v>
      </c>
      <c r="F27" s="2">
        <v>6</v>
      </c>
      <c r="G27" s="2">
        <v>7</v>
      </c>
      <c r="H27" s="2">
        <v>7</v>
      </c>
      <c r="I27" s="2">
        <v>7</v>
      </c>
      <c r="J27" s="2">
        <v>7</v>
      </c>
      <c r="K27" s="2">
        <v>6</v>
      </c>
      <c r="L27" s="2">
        <v>6</v>
      </c>
      <c r="M27" s="2">
        <v>7</v>
      </c>
      <c r="N27" s="2">
        <v>6</v>
      </c>
      <c r="O27" s="2">
        <v>6</v>
      </c>
      <c r="P27" s="2">
        <v>6</v>
      </c>
      <c r="Q27" s="2">
        <v>6</v>
      </c>
      <c r="R27" s="2">
        <v>6</v>
      </c>
      <c r="S27" s="2">
        <v>6</v>
      </c>
      <c r="T27" s="2">
        <v>6</v>
      </c>
      <c r="U27" s="2">
        <v>6</v>
      </c>
      <c r="V27" s="2">
        <v>6</v>
      </c>
      <c r="W27" s="2">
        <v>6</v>
      </c>
      <c r="X27" s="2">
        <v>6</v>
      </c>
      <c r="Y27" s="2">
        <v>6</v>
      </c>
      <c r="Z27" s="2">
        <v>6</v>
      </c>
      <c r="AA27" s="2">
        <v>6</v>
      </c>
      <c r="AB27" s="2">
        <v>6</v>
      </c>
      <c r="AC27" s="2">
        <v>7</v>
      </c>
      <c r="AD27" s="2">
        <v>2</v>
      </c>
      <c r="AE27" s="2">
        <v>2</v>
      </c>
      <c r="AF27" s="2">
        <v>1</v>
      </c>
      <c r="AG27" s="2">
        <v>7</v>
      </c>
      <c r="AH27" s="2">
        <v>6</v>
      </c>
      <c r="AI27" s="3">
        <f t="shared" si="0"/>
        <v>6.5</v>
      </c>
      <c r="AJ27" s="3">
        <f t="shared" si="1"/>
        <v>6</v>
      </c>
      <c r="AK27" s="3">
        <f t="shared" si="2"/>
        <v>6</v>
      </c>
      <c r="AL27" s="3">
        <f t="shared" si="3"/>
        <v>3</v>
      </c>
      <c r="AM27" s="3">
        <f t="shared" si="4"/>
        <v>6.5</v>
      </c>
    </row>
    <row r="28" spans="1:39" x14ac:dyDescent="0.2">
      <c r="A28" s="2" t="s">
        <v>68</v>
      </c>
      <c r="B28" s="2" t="s">
        <v>69</v>
      </c>
      <c r="C28" s="2" t="s">
        <v>51</v>
      </c>
      <c r="D28" s="2" t="s">
        <v>52</v>
      </c>
      <c r="E28" s="2" t="s">
        <v>53</v>
      </c>
      <c r="F28" s="2">
        <v>6</v>
      </c>
      <c r="G28" s="2">
        <v>6</v>
      </c>
      <c r="H28" s="2">
        <v>5</v>
      </c>
      <c r="I28" s="2">
        <v>5</v>
      </c>
      <c r="J28" s="2">
        <v>4</v>
      </c>
      <c r="K28" s="2">
        <v>5</v>
      </c>
      <c r="L28" s="2">
        <v>5</v>
      </c>
      <c r="M28" s="2">
        <v>6</v>
      </c>
      <c r="N28" s="2">
        <v>6</v>
      </c>
      <c r="O28" s="2">
        <v>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>
        <f t="shared" si="0"/>
        <v>5.4</v>
      </c>
      <c r="AJ28" s="3" t="str">
        <f t="shared" si="1"/>
        <v/>
      </c>
      <c r="AK28" s="3" t="str">
        <f t="shared" si="2"/>
        <v/>
      </c>
      <c r="AL28" s="3" t="str">
        <f t="shared" si="3"/>
        <v/>
      </c>
      <c r="AM28" s="3" t="str">
        <f t="shared" si="4"/>
        <v/>
      </c>
    </row>
    <row r="29" spans="1:39" x14ac:dyDescent="0.2">
      <c r="A29" s="2" t="s">
        <v>70</v>
      </c>
      <c r="B29" s="2" t="s">
        <v>69</v>
      </c>
      <c r="C29" s="2" t="s">
        <v>48</v>
      </c>
      <c r="D29" s="2" t="s">
        <v>49</v>
      </c>
      <c r="E29" s="2" t="s">
        <v>50</v>
      </c>
      <c r="F29" s="2">
        <v>6</v>
      </c>
      <c r="G29" s="2">
        <v>6</v>
      </c>
      <c r="H29" s="2">
        <v>6</v>
      </c>
      <c r="I29" s="2">
        <v>5</v>
      </c>
      <c r="J29" s="2">
        <v>5</v>
      </c>
      <c r="K29" s="2">
        <v>6</v>
      </c>
      <c r="L29" s="2">
        <v>6</v>
      </c>
      <c r="M29" s="2">
        <v>6</v>
      </c>
      <c r="N29" s="2">
        <v>6</v>
      </c>
      <c r="O29" s="2">
        <v>6</v>
      </c>
      <c r="P29" s="2">
        <v>7</v>
      </c>
      <c r="Q29" s="2">
        <v>6</v>
      </c>
      <c r="R29" s="2">
        <v>6</v>
      </c>
      <c r="S29" s="2">
        <v>6</v>
      </c>
      <c r="T29" s="2">
        <v>6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6</v>
      </c>
      <c r="AB29" s="2">
        <v>5</v>
      </c>
      <c r="AC29" s="2">
        <v>5</v>
      </c>
      <c r="AD29" s="2">
        <v>4</v>
      </c>
      <c r="AE29" s="2">
        <v>4</v>
      </c>
      <c r="AF29" s="2">
        <v>4</v>
      </c>
      <c r="AG29" s="2">
        <v>7</v>
      </c>
      <c r="AH29" s="2">
        <v>7</v>
      </c>
      <c r="AI29" s="3">
        <f t="shared" si="0"/>
        <v>5.8</v>
      </c>
      <c r="AJ29" s="3">
        <f t="shared" si="1"/>
        <v>5.6</v>
      </c>
      <c r="AK29" s="3">
        <f t="shared" si="2"/>
        <v>5.333333333333333</v>
      </c>
      <c r="AL29" s="3">
        <f t="shared" si="3"/>
        <v>4.25</v>
      </c>
      <c r="AM29" s="3">
        <f t="shared" si="4"/>
        <v>7</v>
      </c>
    </row>
    <row r="30" spans="1:39" x14ac:dyDescent="0.2">
      <c r="A30" s="2" t="s">
        <v>70</v>
      </c>
      <c r="B30" s="2" t="s">
        <v>69</v>
      </c>
      <c r="C30" s="2" t="s">
        <v>51</v>
      </c>
      <c r="D30" s="2" t="s">
        <v>52</v>
      </c>
      <c r="E30" s="2" t="s">
        <v>53</v>
      </c>
      <c r="F30" s="2">
        <v>6</v>
      </c>
      <c r="G30" s="2">
        <v>6</v>
      </c>
      <c r="H30" s="2">
        <v>5</v>
      </c>
      <c r="I30" s="2">
        <v>6</v>
      </c>
      <c r="J30" s="2">
        <v>6</v>
      </c>
      <c r="K30" s="2">
        <v>5</v>
      </c>
      <c r="L30" s="2">
        <v>5</v>
      </c>
      <c r="M30" s="2">
        <v>5</v>
      </c>
      <c r="N30" s="2">
        <v>5</v>
      </c>
      <c r="O30" s="2">
        <v>4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3">
        <f t="shared" si="0"/>
        <v>5.3</v>
      </c>
      <c r="AJ30" s="3" t="str">
        <f t="shared" si="1"/>
        <v/>
      </c>
      <c r="AK30" s="3" t="str">
        <f t="shared" si="2"/>
        <v/>
      </c>
      <c r="AL30" s="3" t="str">
        <f t="shared" si="3"/>
        <v/>
      </c>
      <c r="AM30" s="3" t="str">
        <f t="shared" si="4"/>
        <v/>
      </c>
    </row>
    <row r="31" spans="1:39" x14ac:dyDescent="0.2">
      <c r="A31" s="2" t="s">
        <v>71</v>
      </c>
      <c r="B31" s="2" t="s">
        <v>69</v>
      </c>
      <c r="C31" s="2" t="s">
        <v>48</v>
      </c>
      <c r="D31" s="2" t="s">
        <v>49</v>
      </c>
      <c r="E31" s="2" t="s">
        <v>50</v>
      </c>
      <c r="F31" s="2">
        <v>7</v>
      </c>
      <c r="G31" s="2">
        <v>7</v>
      </c>
      <c r="H31" s="2">
        <v>7</v>
      </c>
      <c r="I31" s="2">
        <v>7</v>
      </c>
      <c r="J31" s="2">
        <v>7</v>
      </c>
      <c r="K31" s="2">
        <v>7</v>
      </c>
      <c r="L31" s="2">
        <v>7</v>
      </c>
      <c r="M31" s="2">
        <v>7</v>
      </c>
      <c r="N31" s="2">
        <v>7</v>
      </c>
      <c r="O31" s="2">
        <v>7</v>
      </c>
      <c r="P31" s="2">
        <v>7</v>
      </c>
      <c r="Q31" s="2">
        <v>7</v>
      </c>
      <c r="R31" s="2">
        <v>7</v>
      </c>
      <c r="S31" s="2">
        <v>7</v>
      </c>
      <c r="T31" s="2">
        <v>7</v>
      </c>
      <c r="U31" s="2">
        <v>7</v>
      </c>
      <c r="V31" s="2">
        <v>7</v>
      </c>
      <c r="W31" s="2">
        <v>7</v>
      </c>
      <c r="X31" s="2">
        <v>7</v>
      </c>
      <c r="Y31" s="2">
        <v>7</v>
      </c>
      <c r="Z31" s="2">
        <v>7</v>
      </c>
      <c r="AA31" s="2">
        <v>7</v>
      </c>
      <c r="AB31" s="2">
        <v>7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7</v>
      </c>
      <c r="AI31" s="3">
        <f t="shared" si="0"/>
        <v>7</v>
      </c>
      <c r="AJ31" s="3">
        <f t="shared" si="1"/>
        <v>7</v>
      </c>
      <c r="AK31" s="3">
        <f t="shared" si="2"/>
        <v>7</v>
      </c>
      <c r="AL31" s="3">
        <f t="shared" si="3"/>
        <v>1</v>
      </c>
      <c r="AM31" s="3">
        <f t="shared" si="4"/>
        <v>4</v>
      </c>
    </row>
    <row r="32" spans="1:39" x14ac:dyDescent="0.2">
      <c r="A32" s="2" t="s">
        <v>71</v>
      </c>
      <c r="B32" s="2" t="s">
        <v>69</v>
      </c>
      <c r="C32" s="2" t="s">
        <v>51</v>
      </c>
      <c r="D32" s="2" t="s">
        <v>52</v>
      </c>
      <c r="E32" s="2" t="s">
        <v>53</v>
      </c>
      <c r="F32" s="2">
        <v>6</v>
      </c>
      <c r="G32" s="2">
        <v>6</v>
      </c>
      <c r="H32" s="2">
        <v>6</v>
      </c>
      <c r="I32" s="2">
        <v>6</v>
      </c>
      <c r="J32" s="2">
        <v>5</v>
      </c>
      <c r="K32" s="2">
        <v>6</v>
      </c>
      <c r="L32" s="2">
        <v>6</v>
      </c>
      <c r="M32" s="2">
        <v>5</v>
      </c>
      <c r="N32" s="2">
        <v>5</v>
      </c>
      <c r="O32" s="2">
        <v>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>
        <f t="shared" si="0"/>
        <v>5.6</v>
      </c>
      <c r="AJ32" s="3" t="str">
        <f t="shared" si="1"/>
        <v/>
      </c>
      <c r="AK32" s="3" t="str">
        <f t="shared" si="2"/>
        <v/>
      </c>
      <c r="AL32" s="3" t="str">
        <f t="shared" si="3"/>
        <v/>
      </c>
      <c r="AM32" s="3" t="str">
        <f t="shared" si="4"/>
        <v/>
      </c>
    </row>
    <row r="33" spans="1:39" x14ac:dyDescent="0.2">
      <c r="A33" s="2" t="s">
        <v>72</v>
      </c>
      <c r="B33" s="2" t="s">
        <v>73</v>
      </c>
      <c r="C33" s="2" t="s">
        <v>51</v>
      </c>
      <c r="D33" s="2" t="s">
        <v>49</v>
      </c>
      <c r="E33" s="2" t="s">
        <v>50</v>
      </c>
      <c r="F33" s="2">
        <v>6</v>
      </c>
      <c r="G33" s="2">
        <v>6</v>
      </c>
      <c r="H33" s="2">
        <v>4</v>
      </c>
      <c r="I33" s="2">
        <v>6</v>
      </c>
      <c r="J33" s="2">
        <v>6</v>
      </c>
      <c r="K33" s="2">
        <v>6</v>
      </c>
      <c r="L33" s="2">
        <v>6</v>
      </c>
      <c r="M33" s="2">
        <v>6</v>
      </c>
      <c r="N33" s="2">
        <v>5</v>
      </c>
      <c r="O33" s="2">
        <v>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>
        <f t="shared" si="0"/>
        <v>5.7</v>
      </c>
      <c r="AJ33" s="3" t="str">
        <f t="shared" si="1"/>
        <v/>
      </c>
      <c r="AK33" s="3" t="str">
        <f t="shared" si="2"/>
        <v/>
      </c>
      <c r="AL33" s="3" t="str">
        <f t="shared" si="3"/>
        <v/>
      </c>
      <c r="AM33" s="3" t="str">
        <f t="shared" si="4"/>
        <v/>
      </c>
    </row>
    <row r="34" spans="1:39" x14ac:dyDescent="0.2">
      <c r="A34" s="2" t="s">
        <v>72</v>
      </c>
      <c r="B34" s="2" t="s">
        <v>73</v>
      </c>
      <c r="C34" s="2" t="s">
        <v>48</v>
      </c>
      <c r="D34" s="2" t="s">
        <v>52</v>
      </c>
      <c r="E34" s="2" t="s">
        <v>53</v>
      </c>
      <c r="F34" s="2">
        <v>6</v>
      </c>
      <c r="G34" s="2">
        <v>7</v>
      </c>
      <c r="H34" s="2">
        <v>6</v>
      </c>
      <c r="I34" s="2">
        <v>6</v>
      </c>
      <c r="J34" s="2">
        <v>5</v>
      </c>
      <c r="K34" s="2">
        <v>5</v>
      </c>
      <c r="L34" s="2">
        <v>6</v>
      </c>
      <c r="M34" s="2">
        <v>6</v>
      </c>
      <c r="N34" s="2">
        <v>6</v>
      </c>
      <c r="O34" s="2">
        <v>6</v>
      </c>
      <c r="P34" s="2">
        <v>6</v>
      </c>
      <c r="Q34" s="2">
        <v>6</v>
      </c>
      <c r="R34" s="2">
        <v>7</v>
      </c>
      <c r="S34" s="2">
        <v>6</v>
      </c>
      <c r="T34" s="2">
        <v>6</v>
      </c>
      <c r="U34" s="2">
        <v>6</v>
      </c>
      <c r="V34" s="2">
        <v>6</v>
      </c>
      <c r="W34" s="2">
        <v>5</v>
      </c>
      <c r="X34" s="2">
        <v>7</v>
      </c>
      <c r="Y34" s="2">
        <v>6</v>
      </c>
      <c r="Z34" s="2">
        <v>6</v>
      </c>
      <c r="AA34" s="2">
        <v>6</v>
      </c>
      <c r="AB34" s="2">
        <v>6</v>
      </c>
      <c r="AC34" s="2">
        <v>6</v>
      </c>
      <c r="AD34" s="2">
        <v>2</v>
      </c>
      <c r="AE34" s="2">
        <v>2</v>
      </c>
      <c r="AF34" s="2">
        <v>1</v>
      </c>
      <c r="AG34" s="2">
        <v>7</v>
      </c>
      <c r="AH34" s="2">
        <v>7</v>
      </c>
      <c r="AI34" s="3">
        <f t="shared" si="0"/>
        <v>5.9</v>
      </c>
      <c r="AJ34" s="3">
        <f t="shared" si="1"/>
        <v>6.1</v>
      </c>
      <c r="AK34" s="3">
        <f t="shared" si="2"/>
        <v>6</v>
      </c>
      <c r="AL34" s="3">
        <f t="shared" si="3"/>
        <v>2.75</v>
      </c>
      <c r="AM34" s="3">
        <f t="shared" si="4"/>
        <v>7</v>
      </c>
    </row>
    <row r="35" spans="1:39" x14ac:dyDescent="0.2">
      <c r="A35" s="2" t="s">
        <v>74</v>
      </c>
      <c r="B35" s="2" t="s">
        <v>73</v>
      </c>
      <c r="C35" s="2" t="s">
        <v>51</v>
      </c>
      <c r="D35" s="2" t="s">
        <v>49</v>
      </c>
      <c r="E35" s="2" t="s">
        <v>50</v>
      </c>
      <c r="F35" s="2">
        <v>3</v>
      </c>
      <c r="G35" s="2">
        <v>5</v>
      </c>
      <c r="H35" s="2">
        <v>7</v>
      </c>
      <c r="I35" s="2">
        <v>5</v>
      </c>
      <c r="J35" s="2">
        <v>6</v>
      </c>
      <c r="K35" s="2">
        <v>4</v>
      </c>
      <c r="L35" s="2">
        <v>6</v>
      </c>
      <c r="M35" s="2">
        <v>6</v>
      </c>
      <c r="N35" s="2">
        <v>7</v>
      </c>
      <c r="O35" s="2">
        <v>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>
        <f t="shared" ref="AI35:AI62" si="5">IF(COUNT(F35:O35)=0,"",AVERAGE(F35:O35))</f>
        <v>5.5</v>
      </c>
      <c r="AJ35" s="3" t="str">
        <f t="shared" ref="AJ35:AJ62" si="6">IF(COUNT(P35:Y35)=0,"",AVERAGE(P35:Y35))</f>
        <v/>
      </c>
      <c r="AK35" s="3" t="str">
        <f t="shared" ref="AK35:AK62" si="7">IF(COUNT(Z35:AB35)=0,"",AVERAGE(Z35:AB35))</f>
        <v/>
      </c>
      <c r="AL35" s="3" t="str">
        <f t="shared" ref="AL35:AL62" si="8">IF(COUNT(AC35:AF35)=0,"",AVERAGE(AC35:AF35))</f>
        <v/>
      </c>
      <c r="AM35" s="3" t="str">
        <f t="shared" ref="AM35:AM62" si="9">IF(COUNT(AG35:AH35)=0,"",AVERAGE(AG35:AH35))</f>
        <v/>
      </c>
    </row>
    <row r="36" spans="1:39" x14ac:dyDescent="0.2">
      <c r="A36" s="2" t="s">
        <v>74</v>
      </c>
      <c r="B36" s="2" t="s">
        <v>73</v>
      </c>
      <c r="C36" s="2" t="s">
        <v>48</v>
      </c>
      <c r="D36" s="2" t="s">
        <v>52</v>
      </c>
      <c r="E36" s="2" t="s">
        <v>53</v>
      </c>
      <c r="F36" s="2">
        <v>6</v>
      </c>
      <c r="G36" s="2">
        <v>6</v>
      </c>
      <c r="H36" s="2">
        <v>6</v>
      </c>
      <c r="I36" s="2">
        <v>7</v>
      </c>
      <c r="J36" s="2">
        <v>7</v>
      </c>
      <c r="K36" s="2">
        <v>6</v>
      </c>
      <c r="L36" s="2">
        <v>6</v>
      </c>
      <c r="M36" s="2">
        <v>7</v>
      </c>
      <c r="N36" s="2">
        <v>6</v>
      </c>
      <c r="O36" s="2">
        <v>6</v>
      </c>
      <c r="P36" s="2">
        <v>4</v>
      </c>
      <c r="Q36" s="2">
        <v>5</v>
      </c>
      <c r="R36" s="2">
        <v>4</v>
      </c>
      <c r="S36" s="2">
        <v>7</v>
      </c>
      <c r="T36" s="2">
        <v>7</v>
      </c>
      <c r="U36" s="2">
        <v>5</v>
      </c>
      <c r="V36" s="2">
        <v>6</v>
      </c>
      <c r="W36" s="2">
        <v>5</v>
      </c>
      <c r="X36" s="2">
        <v>6</v>
      </c>
      <c r="Y36" s="2">
        <v>6</v>
      </c>
      <c r="Z36" s="2">
        <v>5</v>
      </c>
      <c r="AA36" s="2">
        <v>3</v>
      </c>
      <c r="AB36" s="2">
        <v>4</v>
      </c>
      <c r="AC36" s="2">
        <v>5</v>
      </c>
      <c r="AD36" s="2">
        <v>2</v>
      </c>
      <c r="AE36" s="2">
        <v>2</v>
      </c>
      <c r="AF36" s="2">
        <v>3</v>
      </c>
      <c r="AG36" s="2">
        <v>7</v>
      </c>
      <c r="AH36" s="2">
        <v>6</v>
      </c>
      <c r="AI36" s="3">
        <f t="shared" si="5"/>
        <v>6.3</v>
      </c>
      <c r="AJ36" s="3">
        <f t="shared" si="6"/>
        <v>5.5</v>
      </c>
      <c r="AK36" s="3">
        <f t="shared" si="7"/>
        <v>4</v>
      </c>
      <c r="AL36" s="3">
        <f t="shared" si="8"/>
        <v>3</v>
      </c>
      <c r="AM36" s="3">
        <f t="shared" si="9"/>
        <v>6.5</v>
      </c>
    </row>
    <row r="37" spans="1:39" x14ac:dyDescent="0.2">
      <c r="A37" s="2" t="s">
        <v>75</v>
      </c>
      <c r="B37" s="2" t="s">
        <v>73</v>
      </c>
      <c r="C37" s="2" t="s">
        <v>51</v>
      </c>
      <c r="D37" s="2" t="s">
        <v>49</v>
      </c>
      <c r="E37" s="2" t="s">
        <v>50</v>
      </c>
      <c r="F37" s="2">
        <v>5</v>
      </c>
      <c r="G37" s="2">
        <v>6</v>
      </c>
      <c r="H37" s="2">
        <v>6</v>
      </c>
      <c r="I37" s="2">
        <v>6</v>
      </c>
      <c r="J37" s="2">
        <v>6</v>
      </c>
      <c r="K37" s="2">
        <v>6</v>
      </c>
      <c r="L37" s="2">
        <v>7</v>
      </c>
      <c r="M37" s="2">
        <v>6</v>
      </c>
      <c r="N37" s="2">
        <v>4</v>
      </c>
      <c r="O37" s="2">
        <v>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>
        <f t="shared" si="5"/>
        <v>5.7</v>
      </c>
      <c r="AJ37" s="3" t="str">
        <f t="shared" si="6"/>
        <v/>
      </c>
      <c r="AK37" s="3" t="str">
        <f t="shared" si="7"/>
        <v/>
      </c>
      <c r="AL37" s="3" t="str">
        <f t="shared" si="8"/>
        <v/>
      </c>
      <c r="AM37" s="3" t="str">
        <f t="shared" si="9"/>
        <v/>
      </c>
    </row>
    <row r="38" spans="1:39" x14ac:dyDescent="0.2">
      <c r="A38" s="2" t="s">
        <v>75</v>
      </c>
      <c r="B38" s="2" t="s">
        <v>73</v>
      </c>
      <c r="C38" s="2" t="s">
        <v>48</v>
      </c>
      <c r="D38" s="2" t="s">
        <v>52</v>
      </c>
      <c r="E38" s="2" t="s">
        <v>53</v>
      </c>
      <c r="F38" s="2">
        <v>7</v>
      </c>
      <c r="G38" s="2">
        <v>7</v>
      </c>
      <c r="H38" s="2">
        <v>6</v>
      </c>
      <c r="I38" s="2">
        <v>6</v>
      </c>
      <c r="J38" s="2">
        <v>7</v>
      </c>
      <c r="K38" s="2">
        <v>6</v>
      </c>
      <c r="L38" s="2">
        <v>7</v>
      </c>
      <c r="M38" s="2">
        <v>7</v>
      </c>
      <c r="N38" s="2">
        <v>4</v>
      </c>
      <c r="O38" s="2">
        <v>4</v>
      </c>
      <c r="P38" s="2">
        <v>4</v>
      </c>
      <c r="Q38" s="2">
        <v>7</v>
      </c>
      <c r="R38" s="2">
        <v>7</v>
      </c>
      <c r="S38" s="2">
        <v>3</v>
      </c>
      <c r="T38" s="2">
        <v>5</v>
      </c>
      <c r="U38" s="2">
        <v>7</v>
      </c>
      <c r="V38" s="2">
        <v>7</v>
      </c>
      <c r="W38" s="2">
        <v>4</v>
      </c>
      <c r="X38" s="2">
        <v>7</v>
      </c>
      <c r="Y38" s="2">
        <v>7</v>
      </c>
      <c r="Z38" s="2">
        <v>7</v>
      </c>
      <c r="AA38" s="2">
        <v>6</v>
      </c>
      <c r="AB38" s="2">
        <v>6</v>
      </c>
      <c r="AC38" s="2">
        <v>4</v>
      </c>
      <c r="AD38" s="2">
        <v>2</v>
      </c>
      <c r="AE38" s="2">
        <v>2</v>
      </c>
      <c r="AF38" s="2">
        <v>1</v>
      </c>
      <c r="AG38" s="2">
        <v>7</v>
      </c>
      <c r="AH38" s="2">
        <v>7</v>
      </c>
      <c r="AI38" s="3">
        <f t="shared" si="5"/>
        <v>6.1</v>
      </c>
      <c r="AJ38" s="3">
        <f t="shared" si="6"/>
        <v>5.8</v>
      </c>
      <c r="AK38" s="3">
        <f t="shared" si="7"/>
        <v>6.333333333333333</v>
      </c>
      <c r="AL38" s="3">
        <f t="shared" si="8"/>
        <v>2.25</v>
      </c>
      <c r="AM38" s="3">
        <f t="shared" si="9"/>
        <v>7</v>
      </c>
    </row>
    <row r="39" spans="1:39" x14ac:dyDescent="0.2">
      <c r="A39" s="2" t="s">
        <v>76</v>
      </c>
      <c r="B39" s="2" t="s">
        <v>77</v>
      </c>
      <c r="C39" s="2" t="s">
        <v>48</v>
      </c>
      <c r="D39" s="2" t="s">
        <v>49</v>
      </c>
      <c r="E39" s="2" t="s">
        <v>53</v>
      </c>
      <c r="F39" s="2">
        <v>6</v>
      </c>
      <c r="G39" s="2">
        <v>6</v>
      </c>
      <c r="H39" s="2">
        <v>6</v>
      </c>
      <c r="I39" s="2">
        <v>6</v>
      </c>
      <c r="J39" s="2">
        <v>6</v>
      </c>
      <c r="K39" s="2">
        <v>7</v>
      </c>
      <c r="L39" s="2">
        <v>6</v>
      </c>
      <c r="M39" s="2">
        <v>6</v>
      </c>
      <c r="N39" s="2">
        <v>5</v>
      </c>
      <c r="O39" s="2">
        <v>6</v>
      </c>
      <c r="P39" s="2">
        <v>6</v>
      </c>
      <c r="Q39" s="2">
        <v>6</v>
      </c>
      <c r="R39" s="2">
        <v>6</v>
      </c>
      <c r="S39" s="2">
        <v>6</v>
      </c>
      <c r="T39" s="2">
        <v>6</v>
      </c>
      <c r="U39" s="2">
        <v>6</v>
      </c>
      <c r="V39" s="2">
        <v>6</v>
      </c>
      <c r="W39" s="2">
        <v>6</v>
      </c>
      <c r="X39" s="2">
        <v>7</v>
      </c>
      <c r="Y39" s="2">
        <v>5</v>
      </c>
      <c r="Z39" s="2">
        <v>6</v>
      </c>
      <c r="AA39" s="2">
        <v>7</v>
      </c>
      <c r="AB39" s="2">
        <v>6</v>
      </c>
      <c r="AC39" s="2">
        <v>5</v>
      </c>
      <c r="AD39" s="2">
        <v>2</v>
      </c>
      <c r="AE39" s="2">
        <v>2</v>
      </c>
      <c r="AF39" s="2">
        <v>1</v>
      </c>
      <c r="AG39" s="2">
        <v>6</v>
      </c>
      <c r="AH39" s="2">
        <v>6</v>
      </c>
      <c r="AI39" s="3">
        <f t="shared" si="5"/>
        <v>6</v>
      </c>
      <c r="AJ39" s="3">
        <f t="shared" si="6"/>
        <v>6</v>
      </c>
      <c r="AK39" s="3">
        <f t="shared" si="7"/>
        <v>6.333333333333333</v>
      </c>
      <c r="AL39" s="3">
        <f t="shared" si="8"/>
        <v>2.5</v>
      </c>
      <c r="AM39" s="3">
        <f t="shared" si="9"/>
        <v>6</v>
      </c>
    </row>
    <row r="40" spans="1:39" x14ac:dyDescent="0.2">
      <c r="A40" s="2" t="s">
        <v>76</v>
      </c>
      <c r="B40" s="2" t="s">
        <v>77</v>
      </c>
      <c r="C40" s="2" t="s">
        <v>51</v>
      </c>
      <c r="D40" s="2" t="s">
        <v>52</v>
      </c>
      <c r="E40" s="2" t="s">
        <v>50</v>
      </c>
      <c r="F40" s="2">
        <v>6</v>
      </c>
      <c r="G40" s="2">
        <v>6</v>
      </c>
      <c r="H40" s="2">
        <v>5</v>
      </c>
      <c r="I40" s="2">
        <v>6</v>
      </c>
      <c r="J40" s="2">
        <v>5</v>
      </c>
      <c r="K40" s="2">
        <v>6</v>
      </c>
      <c r="L40" s="2">
        <v>5</v>
      </c>
      <c r="M40" s="2">
        <v>6</v>
      </c>
      <c r="N40" s="2">
        <v>6</v>
      </c>
      <c r="O40" s="2">
        <v>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3">
        <f t="shared" si="5"/>
        <v>5.7</v>
      </c>
      <c r="AJ40" s="3" t="str">
        <f t="shared" si="6"/>
        <v/>
      </c>
      <c r="AK40" s="3" t="str">
        <f t="shared" si="7"/>
        <v/>
      </c>
      <c r="AL40" s="3" t="str">
        <f t="shared" si="8"/>
        <v/>
      </c>
      <c r="AM40" s="3" t="str">
        <f t="shared" si="9"/>
        <v/>
      </c>
    </row>
    <row r="41" spans="1:39" x14ac:dyDescent="0.2">
      <c r="A41" s="2" t="s">
        <v>78</v>
      </c>
      <c r="B41" s="2" t="s">
        <v>77</v>
      </c>
      <c r="C41" s="2" t="s">
        <v>48</v>
      </c>
      <c r="D41" s="2" t="s">
        <v>49</v>
      </c>
      <c r="E41" s="2" t="s">
        <v>53</v>
      </c>
      <c r="F41" s="2">
        <v>7</v>
      </c>
      <c r="G41" s="2">
        <v>7</v>
      </c>
      <c r="H41" s="2">
        <v>6</v>
      </c>
      <c r="I41" s="2">
        <v>6</v>
      </c>
      <c r="J41" s="2">
        <v>6</v>
      </c>
      <c r="K41" s="2">
        <v>6</v>
      </c>
      <c r="L41" s="2">
        <v>6</v>
      </c>
      <c r="M41" s="2">
        <v>6</v>
      </c>
      <c r="N41" s="2">
        <v>6</v>
      </c>
      <c r="O41" s="2">
        <v>6</v>
      </c>
      <c r="P41" s="2">
        <v>6</v>
      </c>
      <c r="Q41" s="2">
        <v>6</v>
      </c>
      <c r="R41" s="2">
        <v>4</v>
      </c>
      <c r="S41" s="2">
        <v>6</v>
      </c>
      <c r="T41" s="2">
        <v>6</v>
      </c>
      <c r="U41" s="2">
        <v>4</v>
      </c>
      <c r="V41" s="2">
        <v>7</v>
      </c>
      <c r="W41" s="2">
        <v>4</v>
      </c>
      <c r="X41" s="2">
        <v>6</v>
      </c>
      <c r="Y41" s="2">
        <v>6</v>
      </c>
      <c r="Z41" s="2">
        <v>6</v>
      </c>
      <c r="AA41" s="2">
        <v>5</v>
      </c>
      <c r="AB41" s="2">
        <v>5</v>
      </c>
      <c r="AC41" s="2">
        <v>1</v>
      </c>
      <c r="AD41" s="2">
        <v>2</v>
      </c>
      <c r="AE41" s="2">
        <v>2</v>
      </c>
      <c r="AF41" s="2">
        <v>2</v>
      </c>
      <c r="AG41" s="2">
        <v>7</v>
      </c>
      <c r="AH41" s="2">
        <v>6</v>
      </c>
      <c r="AI41" s="3">
        <f t="shared" si="5"/>
        <v>6.2</v>
      </c>
      <c r="AJ41" s="3">
        <f t="shared" si="6"/>
        <v>5.5</v>
      </c>
      <c r="AK41" s="3">
        <f t="shared" si="7"/>
        <v>5.333333333333333</v>
      </c>
      <c r="AL41" s="3">
        <f t="shared" si="8"/>
        <v>1.75</v>
      </c>
      <c r="AM41" s="3">
        <f t="shared" si="9"/>
        <v>6.5</v>
      </c>
    </row>
    <row r="42" spans="1:39" x14ac:dyDescent="0.2">
      <c r="A42" s="2" t="s">
        <v>78</v>
      </c>
      <c r="B42" s="2" t="s">
        <v>77</v>
      </c>
      <c r="C42" s="2" t="s">
        <v>51</v>
      </c>
      <c r="D42" s="2" t="s">
        <v>52</v>
      </c>
      <c r="E42" s="2" t="s">
        <v>50</v>
      </c>
      <c r="F42" s="2">
        <v>7</v>
      </c>
      <c r="G42" s="2">
        <v>6</v>
      </c>
      <c r="H42" s="2">
        <v>7</v>
      </c>
      <c r="I42" s="2">
        <v>7</v>
      </c>
      <c r="J42" s="2">
        <v>7</v>
      </c>
      <c r="K42" s="2">
        <v>7</v>
      </c>
      <c r="L42" s="2">
        <v>6</v>
      </c>
      <c r="M42" s="2">
        <v>7</v>
      </c>
      <c r="N42" s="2">
        <v>7</v>
      </c>
      <c r="O42" s="2">
        <v>7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3">
        <f t="shared" si="5"/>
        <v>6.8</v>
      </c>
      <c r="AJ42" s="3" t="str">
        <f t="shared" si="6"/>
        <v/>
      </c>
      <c r="AK42" s="3" t="str">
        <f t="shared" si="7"/>
        <v/>
      </c>
      <c r="AL42" s="3" t="str">
        <f t="shared" si="8"/>
        <v/>
      </c>
      <c r="AM42" s="3" t="str">
        <f t="shared" si="9"/>
        <v/>
      </c>
    </row>
    <row r="43" spans="1:39" x14ac:dyDescent="0.2">
      <c r="A43" s="2" t="s">
        <v>79</v>
      </c>
      <c r="B43" s="2" t="s">
        <v>77</v>
      </c>
      <c r="C43" s="2" t="s">
        <v>48</v>
      </c>
      <c r="D43" s="2" t="s">
        <v>49</v>
      </c>
      <c r="E43" s="2" t="s">
        <v>53</v>
      </c>
      <c r="F43" s="2">
        <v>7</v>
      </c>
      <c r="G43" s="2">
        <v>6</v>
      </c>
      <c r="H43" s="2">
        <v>7</v>
      </c>
      <c r="I43" s="2">
        <v>7</v>
      </c>
      <c r="J43" s="2">
        <v>7</v>
      </c>
      <c r="K43" s="2">
        <v>7</v>
      </c>
      <c r="L43" s="2">
        <v>5</v>
      </c>
      <c r="M43" s="2">
        <v>6</v>
      </c>
      <c r="N43" s="2">
        <v>5</v>
      </c>
      <c r="O43" s="2">
        <v>5</v>
      </c>
      <c r="P43" s="2">
        <v>7</v>
      </c>
      <c r="Q43" s="2">
        <v>7</v>
      </c>
      <c r="R43" s="2">
        <v>7</v>
      </c>
      <c r="S43" s="2">
        <v>5</v>
      </c>
      <c r="T43" s="2">
        <v>5</v>
      </c>
      <c r="U43" s="2">
        <v>7</v>
      </c>
      <c r="V43" s="2">
        <v>7</v>
      </c>
      <c r="W43" s="2">
        <v>7</v>
      </c>
      <c r="X43" s="2">
        <v>6</v>
      </c>
      <c r="Y43" s="2">
        <v>6</v>
      </c>
      <c r="Z43" s="2">
        <v>7</v>
      </c>
      <c r="AA43" s="2">
        <v>6</v>
      </c>
      <c r="AB43" s="2">
        <v>6</v>
      </c>
      <c r="AC43" s="2">
        <v>2</v>
      </c>
      <c r="AD43" s="2">
        <v>2</v>
      </c>
      <c r="AE43" s="2">
        <v>2</v>
      </c>
      <c r="AF43" s="2">
        <v>2</v>
      </c>
      <c r="AG43" s="2">
        <v>7</v>
      </c>
      <c r="AH43" s="2">
        <v>7</v>
      </c>
      <c r="AI43" s="3">
        <f t="shared" si="5"/>
        <v>6.2</v>
      </c>
      <c r="AJ43" s="3">
        <f t="shared" si="6"/>
        <v>6.4</v>
      </c>
      <c r="AK43" s="3">
        <f t="shared" si="7"/>
        <v>6.333333333333333</v>
      </c>
      <c r="AL43" s="3">
        <f t="shared" si="8"/>
        <v>2</v>
      </c>
      <c r="AM43" s="3">
        <f t="shared" si="9"/>
        <v>7</v>
      </c>
    </row>
    <row r="44" spans="1:39" x14ac:dyDescent="0.2">
      <c r="A44" s="2" t="s">
        <v>79</v>
      </c>
      <c r="B44" s="2" t="s">
        <v>77</v>
      </c>
      <c r="C44" s="2" t="s">
        <v>51</v>
      </c>
      <c r="D44" s="2" t="s">
        <v>52</v>
      </c>
      <c r="E44" s="2" t="s">
        <v>50</v>
      </c>
      <c r="F44" s="2">
        <v>6</v>
      </c>
      <c r="G44" s="2">
        <v>6</v>
      </c>
      <c r="H44" s="2">
        <v>6</v>
      </c>
      <c r="I44" s="2">
        <v>6</v>
      </c>
      <c r="J44" s="2">
        <v>7</v>
      </c>
      <c r="K44" s="2">
        <v>7</v>
      </c>
      <c r="L44" s="2">
        <v>6</v>
      </c>
      <c r="M44" s="2">
        <v>6</v>
      </c>
      <c r="N44" s="2">
        <v>6</v>
      </c>
      <c r="O44" s="2">
        <v>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3">
        <f t="shared" si="5"/>
        <v>6.3</v>
      </c>
      <c r="AJ44" s="3" t="str">
        <f t="shared" si="6"/>
        <v/>
      </c>
      <c r="AK44" s="3" t="str">
        <f t="shared" si="7"/>
        <v/>
      </c>
      <c r="AL44" s="3" t="str">
        <f t="shared" si="8"/>
        <v/>
      </c>
      <c r="AM44" s="3" t="str">
        <f t="shared" si="9"/>
        <v/>
      </c>
    </row>
    <row r="45" spans="1:39" x14ac:dyDescent="0.2">
      <c r="A45" s="2" t="s">
        <v>80</v>
      </c>
      <c r="B45" s="2" t="s">
        <v>81</v>
      </c>
      <c r="C45" s="2" t="s">
        <v>51</v>
      </c>
      <c r="D45" s="2" t="s">
        <v>49</v>
      </c>
      <c r="E45" s="2" t="s">
        <v>53</v>
      </c>
      <c r="F45" s="2">
        <v>6</v>
      </c>
      <c r="G45" s="2">
        <v>7</v>
      </c>
      <c r="H45" s="2">
        <v>4</v>
      </c>
      <c r="I45" s="2">
        <v>7</v>
      </c>
      <c r="J45" s="2">
        <v>6</v>
      </c>
      <c r="K45" s="2">
        <v>7</v>
      </c>
      <c r="L45" s="2">
        <v>5</v>
      </c>
      <c r="M45" s="2">
        <v>7</v>
      </c>
      <c r="N45" s="2">
        <v>6</v>
      </c>
      <c r="O45" s="2">
        <v>6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3">
        <f t="shared" si="5"/>
        <v>6.1</v>
      </c>
      <c r="AJ45" s="3" t="str">
        <f t="shared" si="6"/>
        <v/>
      </c>
      <c r="AK45" s="3" t="str">
        <f t="shared" si="7"/>
        <v/>
      </c>
      <c r="AL45" s="3" t="str">
        <f t="shared" si="8"/>
        <v/>
      </c>
      <c r="AM45" s="3" t="str">
        <f t="shared" si="9"/>
        <v/>
      </c>
    </row>
    <row r="46" spans="1:39" x14ac:dyDescent="0.2">
      <c r="A46" s="2" t="s">
        <v>80</v>
      </c>
      <c r="B46" s="2" t="s">
        <v>81</v>
      </c>
      <c r="C46" s="2" t="s">
        <v>48</v>
      </c>
      <c r="D46" s="2" t="s">
        <v>52</v>
      </c>
      <c r="E46" s="2" t="s">
        <v>50</v>
      </c>
      <c r="F46" s="2">
        <v>5</v>
      </c>
      <c r="G46" s="2">
        <v>7</v>
      </c>
      <c r="H46" s="2">
        <v>6</v>
      </c>
      <c r="I46" s="2">
        <v>7</v>
      </c>
      <c r="J46" s="2">
        <v>6</v>
      </c>
      <c r="K46" s="2">
        <v>6</v>
      </c>
      <c r="L46" s="2">
        <v>7</v>
      </c>
      <c r="M46" s="2">
        <v>7</v>
      </c>
      <c r="N46" s="2">
        <v>4</v>
      </c>
      <c r="O46" s="2">
        <v>5</v>
      </c>
      <c r="P46" s="2">
        <v>6</v>
      </c>
      <c r="Q46" s="2">
        <v>7</v>
      </c>
      <c r="R46" s="2">
        <v>7</v>
      </c>
      <c r="S46" s="2">
        <v>7</v>
      </c>
      <c r="T46" s="2">
        <v>6</v>
      </c>
      <c r="U46" s="2">
        <v>7</v>
      </c>
      <c r="V46" s="2">
        <v>7</v>
      </c>
      <c r="W46" s="2">
        <v>6</v>
      </c>
      <c r="X46" s="2">
        <v>7</v>
      </c>
      <c r="Y46" s="2">
        <v>5</v>
      </c>
      <c r="Z46" s="2">
        <v>6</v>
      </c>
      <c r="AA46" s="2">
        <v>7</v>
      </c>
      <c r="AB46" s="2">
        <v>6</v>
      </c>
      <c r="AC46" s="2">
        <v>6</v>
      </c>
      <c r="AD46" s="2">
        <v>7</v>
      </c>
      <c r="AE46" s="2">
        <v>7</v>
      </c>
      <c r="AF46" s="2">
        <v>2</v>
      </c>
      <c r="AG46" s="2">
        <v>7</v>
      </c>
      <c r="AH46" s="2">
        <v>7</v>
      </c>
      <c r="AI46" s="3">
        <f t="shared" si="5"/>
        <v>6</v>
      </c>
      <c r="AJ46" s="3">
        <f t="shared" si="6"/>
        <v>6.5</v>
      </c>
      <c r="AK46" s="3">
        <f t="shared" si="7"/>
        <v>6.333333333333333</v>
      </c>
      <c r="AL46" s="3">
        <f t="shared" si="8"/>
        <v>5.5</v>
      </c>
      <c r="AM46" s="3">
        <f t="shared" si="9"/>
        <v>7</v>
      </c>
    </row>
    <row r="47" spans="1:39" x14ac:dyDescent="0.2">
      <c r="A47" s="2" t="s">
        <v>82</v>
      </c>
      <c r="B47" s="2" t="s">
        <v>81</v>
      </c>
      <c r="C47" s="2" t="s">
        <v>51</v>
      </c>
      <c r="D47" s="2" t="s">
        <v>49</v>
      </c>
      <c r="E47" s="2" t="s">
        <v>53</v>
      </c>
      <c r="F47" s="2">
        <v>6</v>
      </c>
      <c r="G47" s="2">
        <v>6</v>
      </c>
      <c r="H47" s="2">
        <v>5</v>
      </c>
      <c r="I47" s="2">
        <v>6</v>
      </c>
      <c r="J47" s="2">
        <v>4</v>
      </c>
      <c r="K47" s="2">
        <v>5</v>
      </c>
      <c r="L47" s="2">
        <v>5</v>
      </c>
      <c r="M47" s="2">
        <v>6</v>
      </c>
      <c r="N47" s="2">
        <v>6</v>
      </c>
      <c r="O47" s="2">
        <v>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3">
        <f t="shared" si="5"/>
        <v>5.4</v>
      </c>
      <c r="AJ47" s="3" t="str">
        <f t="shared" si="6"/>
        <v/>
      </c>
      <c r="AK47" s="3" t="str">
        <f t="shared" si="7"/>
        <v/>
      </c>
      <c r="AL47" s="3" t="str">
        <f t="shared" si="8"/>
        <v/>
      </c>
      <c r="AM47" s="3" t="str">
        <f t="shared" si="9"/>
        <v/>
      </c>
    </row>
    <row r="48" spans="1:39" x14ac:dyDescent="0.2">
      <c r="A48" s="2" t="s">
        <v>82</v>
      </c>
      <c r="B48" s="2" t="s">
        <v>81</v>
      </c>
      <c r="C48" s="2" t="s">
        <v>48</v>
      </c>
      <c r="D48" s="2" t="s">
        <v>52</v>
      </c>
      <c r="E48" s="2" t="s">
        <v>50</v>
      </c>
      <c r="F48" s="2">
        <v>6</v>
      </c>
      <c r="G48" s="2">
        <v>5</v>
      </c>
      <c r="H48" s="2">
        <v>6</v>
      </c>
      <c r="I48" s="2">
        <v>6</v>
      </c>
      <c r="J48" s="2">
        <v>6</v>
      </c>
      <c r="K48" s="2">
        <v>6</v>
      </c>
      <c r="L48" s="2">
        <v>5</v>
      </c>
      <c r="M48" s="2">
        <v>5</v>
      </c>
      <c r="N48" s="2">
        <v>5</v>
      </c>
      <c r="O48" s="2">
        <v>5</v>
      </c>
      <c r="P48" s="2">
        <v>6</v>
      </c>
      <c r="Q48" s="2">
        <v>6</v>
      </c>
      <c r="R48" s="2">
        <v>6</v>
      </c>
      <c r="S48" s="2">
        <v>6</v>
      </c>
      <c r="T48" s="2">
        <v>6</v>
      </c>
      <c r="U48" s="2">
        <v>6</v>
      </c>
      <c r="V48" s="2">
        <v>6</v>
      </c>
      <c r="W48" s="2">
        <v>5</v>
      </c>
      <c r="X48" s="2">
        <v>4</v>
      </c>
      <c r="Y48" s="2">
        <v>4</v>
      </c>
      <c r="Z48" s="2">
        <v>6</v>
      </c>
      <c r="AA48" s="2">
        <v>6</v>
      </c>
      <c r="AB48" s="2">
        <v>6</v>
      </c>
      <c r="AC48" s="2">
        <v>7</v>
      </c>
      <c r="AD48" s="2">
        <v>4</v>
      </c>
      <c r="AE48" s="2">
        <v>4</v>
      </c>
      <c r="AF48" s="2">
        <v>2</v>
      </c>
      <c r="AG48" s="2">
        <v>6</v>
      </c>
      <c r="AH48" s="2">
        <v>6</v>
      </c>
      <c r="AI48" s="3">
        <f t="shared" si="5"/>
        <v>5.5</v>
      </c>
      <c r="AJ48" s="3">
        <f t="shared" si="6"/>
        <v>5.5</v>
      </c>
      <c r="AK48" s="3">
        <f t="shared" si="7"/>
        <v>6</v>
      </c>
      <c r="AL48" s="3">
        <f t="shared" si="8"/>
        <v>4.25</v>
      </c>
      <c r="AM48" s="3">
        <f t="shared" si="9"/>
        <v>6</v>
      </c>
    </row>
    <row r="49" spans="1:39" x14ac:dyDescent="0.2">
      <c r="A49" s="2" t="s">
        <v>83</v>
      </c>
      <c r="B49" s="2" t="s">
        <v>81</v>
      </c>
      <c r="C49" s="2" t="s">
        <v>51</v>
      </c>
      <c r="D49" s="2" t="s">
        <v>49</v>
      </c>
      <c r="E49" s="2" t="s">
        <v>53</v>
      </c>
      <c r="F49" s="2">
        <v>7</v>
      </c>
      <c r="G49" s="2">
        <v>7</v>
      </c>
      <c r="H49" s="2">
        <v>4</v>
      </c>
      <c r="I49" s="2">
        <v>6</v>
      </c>
      <c r="J49" s="2">
        <v>5</v>
      </c>
      <c r="K49" s="2">
        <v>6</v>
      </c>
      <c r="L49" s="2">
        <v>6</v>
      </c>
      <c r="M49" s="2">
        <v>6</v>
      </c>
      <c r="N49" s="2">
        <v>6</v>
      </c>
      <c r="O49" s="2">
        <v>6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3">
        <f t="shared" si="5"/>
        <v>5.9</v>
      </c>
      <c r="AJ49" s="3" t="str">
        <f t="shared" si="6"/>
        <v/>
      </c>
      <c r="AK49" s="3" t="str">
        <f t="shared" si="7"/>
        <v/>
      </c>
      <c r="AL49" s="3" t="str">
        <f t="shared" si="8"/>
        <v/>
      </c>
      <c r="AM49" s="3" t="str">
        <f t="shared" si="9"/>
        <v/>
      </c>
    </row>
    <row r="50" spans="1:39" x14ac:dyDescent="0.2">
      <c r="A50" s="2" t="s">
        <v>83</v>
      </c>
      <c r="B50" s="2" t="s">
        <v>81</v>
      </c>
      <c r="C50" s="2" t="s">
        <v>48</v>
      </c>
      <c r="D50" s="2" t="s">
        <v>52</v>
      </c>
      <c r="E50" s="2" t="s">
        <v>50</v>
      </c>
      <c r="F50" s="2">
        <v>6</v>
      </c>
      <c r="G50" s="2">
        <v>6</v>
      </c>
      <c r="H50" s="2">
        <v>7</v>
      </c>
      <c r="I50" s="2">
        <v>6</v>
      </c>
      <c r="J50" s="2">
        <v>7</v>
      </c>
      <c r="K50" s="2">
        <v>7</v>
      </c>
      <c r="L50" s="2">
        <v>7</v>
      </c>
      <c r="M50" s="2">
        <v>7</v>
      </c>
      <c r="N50" s="2">
        <v>7</v>
      </c>
      <c r="O50" s="2">
        <v>7</v>
      </c>
      <c r="P50" s="2">
        <v>7</v>
      </c>
      <c r="Q50" s="2">
        <v>7</v>
      </c>
      <c r="R50" s="2">
        <v>7</v>
      </c>
      <c r="S50" s="2">
        <v>6</v>
      </c>
      <c r="T50" s="2">
        <v>6</v>
      </c>
      <c r="U50" s="2">
        <v>7</v>
      </c>
      <c r="V50" s="2">
        <v>7</v>
      </c>
      <c r="W50" s="2">
        <v>7</v>
      </c>
      <c r="X50" s="2">
        <v>7</v>
      </c>
      <c r="Y50" s="2">
        <v>7</v>
      </c>
      <c r="Z50" s="2">
        <v>6</v>
      </c>
      <c r="AA50" s="2">
        <v>7</v>
      </c>
      <c r="AB50" s="2">
        <v>6</v>
      </c>
      <c r="AC50" s="2">
        <v>2</v>
      </c>
      <c r="AD50" s="2">
        <v>2</v>
      </c>
      <c r="AE50" s="2">
        <v>1</v>
      </c>
      <c r="AF50" s="2">
        <v>1</v>
      </c>
      <c r="AG50" s="2">
        <v>7</v>
      </c>
      <c r="AH50" s="2">
        <v>7</v>
      </c>
      <c r="AI50" s="3">
        <f t="shared" si="5"/>
        <v>6.7</v>
      </c>
      <c r="AJ50" s="3">
        <f t="shared" si="6"/>
        <v>6.8</v>
      </c>
      <c r="AK50" s="3">
        <f t="shared" si="7"/>
        <v>6.333333333333333</v>
      </c>
      <c r="AL50" s="3">
        <f t="shared" si="8"/>
        <v>1.5</v>
      </c>
      <c r="AM50" s="3">
        <f t="shared" si="9"/>
        <v>7</v>
      </c>
    </row>
    <row r="51" spans="1:39" x14ac:dyDescent="0.2">
      <c r="A51" s="2" t="s">
        <v>84</v>
      </c>
      <c r="B51" s="2" t="s">
        <v>85</v>
      </c>
      <c r="C51" s="2" t="s">
        <v>48</v>
      </c>
      <c r="D51" s="2" t="s">
        <v>49</v>
      </c>
      <c r="E51" s="2" t="s">
        <v>50</v>
      </c>
      <c r="F51" s="2">
        <v>6</v>
      </c>
      <c r="G51" s="2">
        <v>6</v>
      </c>
      <c r="H51" s="2">
        <v>5</v>
      </c>
      <c r="I51" s="2">
        <v>6</v>
      </c>
      <c r="J51" s="2">
        <v>6</v>
      </c>
      <c r="K51" s="2">
        <v>7</v>
      </c>
      <c r="L51" s="2">
        <v>7</v>
      </c>
      <c r="M51" s="2">
        <v>7</v>
      </c>
      <c r="N51" s="2">
        <v>6</v>
      </c>
      <c r="O51" s="2">
        <v>6</v>
      </c>
      <c r="P51" s="2">
        <v>6</v>
      </c>
      <c r="Q51" s="2">
        <v>6</v>
      </c>
      <c r="R51" s="2">
        <v>6</v>
      </c>
      <c r="S51" s="2">
        <v>6</v>
      </c>
      <c r="T51" s="2">
        <v>6</v>
      </c>
      <c r="U51" s="2">
        <v>6</v>
      </c>
      <c r="V51" s="2">
        <v>7</v>
      </c>
      <c r="W51" s="2">
        <v>6</v>
      </c>
      <c r="X51" s="2">
        <v>6</v>
      </c>
      <c r="Y51" s="2">
        <v>6</v>
      </c>
      <c r="Z51" s="2">
        <v>6</v>
      </c>
      <c r="AA51" s="2">
        <v>6</v>
      </c>
      <c r="AB51" s="2">
        <v>6</v>
      </c>
      <c r="AC51" s="2">
        <v>6</v>
      </c>
      <c r="AD51" s="2">
        <v>2</v>
      </c>
      <c r="AE51" s="2">
        <v>2</v>
      </c>
      <c r="AF51" s="2">
        <v>2</v>
      </c>
      <c r="AG51" s="2">
        <v>7</v>
      </c>
      <c r="AH51" s="2">
        <v>7</v>
      </c>
      <c r="AI51" s="3">
        <f t="shared" si="5"/>
        <v>6.2</v>
      </c>
      <c r="AJ51" s="3">
        <f t="shared" si="6"/>
        <v>6.1</v>
      </c>
      <c r="AK51" s="3">
        <f t="shared" si="7"/>
        <v>6</v>
      </c>
      <c r="AL51" s="3">
        <f t="shared" si="8"/>
        <v>3</v>
      </c>
      <c r="AM51" s="3">
        <f t="shared" si="9"/>
        <v>7</v>
      </c>
    </row>
    <row r="52" spans="1:39" x14ac:dyDescent="0.2">
      <c r="A52" s="2" t="s">
        <v>84</v>
      </c>
      <c r="B52" s="2" t="s">
        <v>85</v>
      </c>
      <c r="C52" s="2" t="s">
        <v>51</v>
      </c>
      <c r="D52" s="2" t="s">
        <v>52</v>
      </c>
      <c r="E52" s="2" t="s">
        <v>53</v>
      </c>
      <c r="F52" s="2">
        <v>6</v>
      </c>
      <c r="G52" s="2">
        <v>6</v>
      </c>
      <c r="H52" s="2">
        <v>5</v>
      </c>
      <c r="I52" s="2">
        <v>6</v>
      </c>
      <c r="J52" s="2">
        <v>4</v>
      </c>
      <c r="K52" s="2">
        <v>5</v>
      </c>
      <c r="L52" s="2">
        <v>5</v>
      </c>
      <c r="M52" s="2">
        <v>6</v>
      </c>
      <c r="N52" s="2">
        <v>6</v>
      </c>
      <c r="O52" s="2">
        <v>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3">
        <f t="shared" si="5"/>
        <v>5.5</v>
      </c>
      <c r="AJ52" s="3" t="str">
        <f t="shared" si="6"/>
        <v/>
      </c>
      <c r="AK52" s="3" t="str">
        <f t="shared" si="7"/>
        <v/>
      </c>
      <c r="AL52" s="3" t="str">
        <f t="shared" si="8"/>
        <v/>
      </c>
      <c r="AM52" s="3" t="str">
        <f t="shared" si="9"/>
        <v/>
      </c>
    </row>
    <row r="53" spans="1:39" x14ac:dyDescent="0.2">
      <c r="A53" s="2" t="s">
        <v>86</v>
      </c>
      <c r="B53" s="2" t="s">
        <v>85</v>
      </c>
      <c r="C53" s="2" t="s">
        <v>48</v>
      </c>
      <c r="D53" s="2" t="s">
        <v>49</v>
      </c>
      <c r="E53" s="2" t="s">
        <v>50</v>
      </c>
      <c r="F53" s="2">
        <v>7</v>
      </c>
      <c r="G53" s="2">
        <v>7</v>
      </c>
      <c r="H53" s="2">
        <v>7</v>
      </c>
      <c r="I53" s="2">
        <v>7</v>
      </c>
      <c r="J53" s="2">
        <v>7</v>
      </c>
      <c r="K53" s="2">
        <v>7</v>
      </c>
      <c r="L53" s="2">
        <v>7</v>
      </c>
      <c r="M53" s="2">
        <v>7</v>
      </c>
      <c r="N53" s="2">
        <v>7</v>
      </c>
      <c r="O53" s="2">
        <v>7</v>
      </c>
      <c r="P53" s="2">
        <v>7</v>
      </c>
      <c r="Q53" s="2">
        <v>6</v>
      </c>
      <c r="R53" s="2">
        <v>7</v>
      </c>
      <c r="S53" s="2">
        <v>7</v>
      </c>
      <c r="T53" s="2">
        <v>7</v>
      </c>
      <c r="U53" s="2">
        <v>7</v>
      </c>
      <c r="V53" s="2">
        <v>7</v>
      </c>
      <c r="W53" s="2">
        <v>7</v>
      </c>
      <c r="X53" s="2">
        <v>7</v>
      </c>
      <c r="Y53" s="2">
        <v>7</v>
      </c>
      <c r="Z53" s="2">
        <v>6</v>
      </c>
      <c r="AA53" s="2">
        <v>6</v>
      </c>
      <c r="AB53" s="2">
        <v>5</v>
      </c>
      <c r="AC53" s="2">
        <v>2</v>
      </c>
      <c r="AD53" s="2">
        <v>2</v>
      </c>
      <c r="AE53" s="2">
        <v>1</v>
      </c>
      <c r="AF53" s="2">
        <v>1</v>
      </c>
      <c r="AG53" s="2">
        <v>7</v>
      </c>
      <c r="AH53" s="2">
        <v>7</v>
      </c>
      <c r="AI53" s="3">
        <f t="shared" si="5"/>
        <v>7</v>
      </c>
      <c r="AJ53" s="3">
        <f t="shared" si="6"/>
        <v>6.9</v>
      </c>
      <c r="AK53" s="3">
        <f t="shared" si="7"/>
        <v>5.666666666666667</v>
      </c>
      <c r="AL53" s="3">
        <f t="shared" si="8"/>
        <v>1.5</v>
      </c>
      <c r="AM53" s="3">
        <f t="shared" si="9"/>
        <v>7</v>
      </c>
    </row>
    <row r="54" spans="1:39" x14ac:dyDescent="0.2">
      <c r="A54" s="2" t="s">
        <v>86</v>
      </c>
      <c r="B54" s="2" t="s">
        <v>85</v>
      </c>
      <c r="C54" s="2" t="s">
        <v>51</v>
      </c>
      <c r="D54" s="2" t="s">
        <v>52</v>
      </c>
      <c r="E54" s="2" t="s">
        <v>53</v>
      </c>
      <c r="F54" s="2">
        <v>7</v>
      </c>
      <c r="G54" s="2">
        <v>6</v>
      </c>
      <c r="H54" s="2">
        <v>5</v>
      </c>
      <c r="I54" s="2">
        <v>6</v>
      </c>
      <c r="J54" s="2">
        <v>7</v>
      </c>
      <c r="K54" s="2">
        <v>7</v>
      </c>
      <c r="L54" s="2">
        <v>5</v>
      </c>
      <c r="M54" s="2">
        <v>6</v>
      </c>
      <c r="N54" s="2">
        <v>6</v>
      </c>
      <c r="O54" s="2">
        <v>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3">
        <f t="shared" si="5"/>
        <v>6</v>
      </c>
      <c r="AJ54" s="3" t="str">
        <f t="shared" si="6"/>
        <v/>
      </c>
      <c r="AK54" s="3" t="str">
        <f t="shared" si="7"/>
        <v/>
      </c>
      <c r="AL54" s="3" t="str">
        <f t="shared" si="8"/>
        <v/>
      </c>
      <c r="AM54" s="3" t="str">
        <f t="shared" si="9"/>
        <v/>
      </c>
    </row>
    <row r="55" spans="1:39" x14ac:dyDescent="0.2">
      <c r="A55" s="2" t="s">
        <v>87</v>
      </c>
      <c r="B55" s="2" t="s">
        <v>85</v>
      </c>
      <c r="C55" s="2" t="s">
        <v>48</v>
      </c>
      <c r="D55" s="2" t="s">
        <v>49</v>
      </c>
      <c r="E55" s="2" t="s">
        <v>50</v>
      </c>
      <c r="F55" s="2">
        <v>3</v>
      </c>
      <c r="G55" s="2">
        <v>3</v>
      </c>
      <c r="H55" s="2">
        <v>4</v>
      </c>
      <c r="I55" s="2">
        <v>5</v>
      </c>
      <c r="J55" s="2">
        <v>6</v>
      </c>
      <c r="K55" s="2">
        <v>6</v>
      </c>
      <c r="L55" s="2">
        <v>5</v>
      </c>
      <c r="M55" s="2">
        <v>5</v>
      </c>
      <c r="N55" s="2">
        <v>5</v>
      </c>
      <c r="O55" s="2">
        <v>5</v>
      </c>
      <c r="P55" s="2">
        <v>5</v>
      </c>
      <c r="Q55" s="2">
        <v>5</v>
      </c>
      <c r="R55" s="2">
        <v>3</v>
      </c>
      <c r="S55" s="2">
        <v>6</v>
      </c>
      <c r="T55" s="2">
        <v>3</v>
      </c>
      <c r="U55" s="2">
        <v>7</v>
      </c>
      <c r="V55" s="2">
        <v>7</v>
      </c>
      <c r="W55" s="2">
        <v>5</v>
      </c>
      <c r="X55" s="2">
        <v>7</v>
      </c>
      <c r="Y55" s="2">
        <v>4</v>
      </c>
      <c r="Z55" s="2">
        <v>5</v>
      </c>
      <c r="AA55" s="2">
        <v>4</v>
      </c>
      <c r="AB55" s="2">
        <v>5</v>
      </c>
      <c r="AC55" s="2">
        <v>7</v>
      </c>
      <c r="AD55" s="2">
        <v>1</v>
      </c>
      <c r="AE55" s="2">
        <v>4</v>
      </c>
      <c r="AF55" s="2">
        <v>1</v>
      </c>
      <c r="AG55" s="2">
        <v>6</v>
      </c>
      <c r="AH55" s="2">
        <v>7</v>
      </c>
      <c r="AI55" s="3">
        <f t="shared" si="5"/>
        <v>4.7</v>
      </c>
      <c r="AJ55" s="3">
        <f t="shared" si="6"/>
        <v>5.2</v>
      </c>
      <c r="AK55" s="3">
        <f t="shared" si="7"/>
        <v>4.666666666666667</v>
      </c>
      <c r="AL55" s="3">
        <f t="shared" si="8"/>
        <v>3.25</v>
      </c>
      <c r="AM55" s="3">
        <f t="shared" si="9"/>
        <v>6.5</v>
      </c>
    </row>
    <row r="56" spans="1:39" x14ac:dyDescent="0.2">
      <c r="A56" s="2" t="s">
        <v>87</v>
      </c>
      <c r="B56" s="2" t="s">
        <v>85</v>
      </c>
      <c r="C56" s="2" t="s">
        <v>51</v>
      </c>
      <c r="D56" s="2" t="s">
        <v>52</v>
      </c>
      <c r="E56" s="2" t="s">
        <v>53</v>
      </c>
      <c r="F56" s="2">
        <v>6</v>
      </c>
      <c r="G56" s="2">
        <v>5</v>
      </c>
      <c r="H56" s="2">
        <v>6</v>
      </c>
      <c r="I56" s="2">
        <v>6</v>
      </c>
      <c r="J56" s="2">
        <v>6</v>
      </c>
      <c r="K56" s="2">
        <v>3</v>
      </c>
      <c r="L56" s="2">
        <v>3</v>
      </c>
      <c r="M56" s="2">
        <v>7</v>
      </c>
      <c r="N56" s="2">
        <v>6</v>
      </c>
      <c r="O56" s="2">
        <v>5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3">
        <f t="shared" si="5"/>
        <v>5.3</v>
      </c>
      <c r="AJ56" s="3" t="str">
        <f t="shared" si="6"/>
        <v/>
      </c>
      <c r="AK56" s="3" t="str">
        <f t="shared" si="7"/>
        <v/>
      </c>
      <c r="AL56" s="3" t="str">
        <f t="shared" si="8"/>
        <v/>
      </c>
      <c r="AM56" s="3" t="str">
        <f t="shared" si="9"/>
        <v/>
      </c>
    </row>
    <row r="57" spans="1:39" x14ac:dyDescent="0.2">
      <c r="A57" s="2" t="s">
        <v>88</v>
      </c>
      <c r="B57" s="2" t="s">
        <v>89</v>
      </c>
      <c r="C57" s="2" t="s">
        <v>51</v>
      </c>
      <c r="D57" s="2" t="s">
        <v>49</v>
      </c>
      <c r="E57" s="2" t="s">
        <v>50</v>
      </c>
      <c r="F57" s="2">
        <v>6</v>
      </c>
      <c r="G57" s="2">
        <v>6</v>
      </c>
      <c r="H57" s="2">
        <v>5</v>
      </c>
      <c r="I57" s="2">
        <v>6</v>
      </c>
      <c r="J57" s="2">
        <v>5</v>
      </c>
      <c r="K57" s="2">
        <v>6</v>
      </c>
      <c r="L57" s="2">
        <v>5</v>
      </c>
      <c r="M57" s="2">
        <v>5</v>
      </c>
      <c r="N57" s="2">
        <v>6</v>
      </c>
      <c r="O57" s="2">
        <v>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3">
        <f t="shared" si="5"/>
        <v>5.6</v>
      </c>
      <c r="AJ57" s="3" t="str">
        <f t="shared" si="6"/>
        <v/>
      </c>
      <c r="AK57" s="3" t="str">
        <f t="shared" si="7"/>
        <v/>
      </c>
      <c r="AL57" s="3" t="str">
        <f t="shared" si="8"/>
        <v/>
      </c>
      <c r="AM57" s="3" t="str">
        <f t="shared" si="9"/>
        <v/>
      </c>
    </row>
    <row r="58" spans="1:39" x14ac:dyDescent="0.2">
      <c r="A58" s="2" t="s">
        <v>88</v>
      </c>
      <c r="B58" s="2" t="s">
        <v>89</v>
      </c>
      <c r="C58" s="2" t="s">
        <v>48</v>
      </c>
      <c r="D58" s="2" t="s">
        <v>52</v>
      </c>
      <c r="E58" s="2" t="s">
        <v>53</v>
      </c>
      <c r="F58" s="2">
        <v>6</v>
      </c>
      <c r="G58" s="2">
        <v>7</v>
      </c>
      <c r="H58" s="2">
        <v>6</v>
      </c>
      <c r="I58" s="2">
        <v>7</v>
      </c>
      <c r="J58" s="2">
        <v>5</v>
      </c>
      <c r="K58" s="2">
        <v>6</v>
      </c>
      <c r="L58" s="2">
        <v>6</v>
      </c>
      <c r="M58" s="2">
        <v>7</v>
      </c>
      <c r="N58" s="2">
        <v>6</v>
      </c>
      <c r="O58" s="2">
        <v>6</v>
      </c>
      <c r="P58" s="2">
        <v>6</v>
      </c>
      <c r="Q58" s="2">
        <v>5</v>
      </c>
      <c r="R58" s="2">
        <v>6</v>
      </c>
      <c r="S58" s="2">
        <v>6</v>
      </c>
      <c r="T58" s="2">
        <v>6</v>
      </c>
      <c r="U58" s="2">
        <v>6</v>
      </c>
      <c r="V58" s="2">
        <v>6</v>
      </c>
      <c r="W58" s="2">
        <v>5</v>
      </c>
      <c r="X58" s="2">
        <v>6</v>
      </c>
      <c r="Y58" s="2">
        <v>5</v>
      </c>
      <c r="Z58" s="2">
        <v>6</v>
      </c>
      <c r="AA58" s="2">
        <v>6</v>
      </c>
      <c r="AB58" s="2">
        <v>6</v>
      </c>
      <c r="AC58" s="2">
        <v>6</v>
      </c>
      <c r="AD58" s="2">
        <v>2</v>
      </c>
      <c r="AE58" s="2">
        <v>2</v>
      </c>
      <c r="AF58" s="2">
        <v>2</v>
      </c>
      <c r="AG58" s="2">
        <v>6</v>
      </c>
      <c r="AH58" s="2">
        <v>6</v>
      </c>
      <c r="AI58" s="3">
        <f t="shared" si="5"/>
        <v>6.2</v>
      </c>
      <c r="AJ58" s="3">
        <f t="shared" si="6"/>
        <v>5.7</v>
      </c>
      <c r="AK58" s="3">
        <f t="shared" si="7"/>
        <v>6</v>
      </c>
      <c r="AL58" s="3">
        <f t="shared" si="8"/>
        <v>3</v>
      </c>
      <c r="AM58" s="3">
        <f t="shared" si="9"/>
        <v>6</v>
      </c>
    </row>
    <row r="59" spans="1:39" x14ac:dyDescent="0.2">
      <c r="A59" s="2" t="s">
        <v>90</v>
      </c>
      <c r="B59" s="2" t="s">
        <v>89</v>
      </c>
      <c r="C59" s="2" t="s">
        <v>51</v>
      </c>
      <c r="D59" s="2" t="s">
        <v>49</v>
      </c>
      <c r="E59" s="2" t="s">
        <v>50</v>
      </c>
      <c r="F59" s="2">
        <v>4</v>
      </c>
      <c r="G59" s="2">
        <v>6</v>
      </c>
      <c r="H59" s="2">
        <v>4</v>
      </c>
      <c r="I59" s="2">
        <v>5</v>
      </c>
      <c r="J59" s="2">
        <v>4</v>
      </c>
      <c r="K59" s="2">
        <v>2</v>
      </c>
      <c r="L59" s="2">
        <v>5</v>
      </c>
      <c r="M59" s="2">
        <v>5</v>
      </c>
      <c r="N59" s="2">
        <v>5</v>
      </c>
      <c r="O59" s="2">
        <v>4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3">
        <f t="shared" si="5"/>
        <v>4.4000000000000004</v>
      </c>
      <c r="AJ59" s="3" t="str">
        <f t="shared" si="6"/>
        <v/>
      </c>
      <c r="AK59" s="3" t="str">
        <f t="shared" si="7"/>
        <v/>
      </c>
      <c r="AL59" s="3" t="str">
        <f t="shared" si="8"/>
        <v/>
      </c>
      <c r="AM59" s="3" t="str">
        <f t="shared" si="9"/>
        <v/>
      </c>
    </row>
    <row r="60" spans="1:39" x14ac:dyDescent="0.2">
      <c r="A60" s="2" t="s">
        <v>90</v>
      </c>
      <c r="B60" s="2" t="s">
        <v>89</v>
      </c>
      <c r="C60" s="2" t="s">
        <v>48</v>
      </c>
      <c r="D60" s="2" t="s">
        <v>52</v>
      </c>
      <c r="E60" s="2" t="s">
        <v>53</v>
      </c>
      <c r="F60" s="2">
        <v>3</v>
      </c>
      <c r="G60" s="2">
        <v>5</v>
      </c>
      <c r="H60" s="2">
        <v>4</v>
      </c>
      <c r="I60" s="2">
        <v>5</v>
      </c>
      <c r="J60" s="2">
        <v>5</v>
      </c>
      <c r="K60" s="2">
        <v>4</v>
      </c>
      <c r="L60" s="2">
        <v>6</v>
      </c>
      <c r="M60" s="2">
        <v>4</v>
      </c>
      <c r="N60" s="2">
        <v>4</v>
      </c>
      <c r="O60" s="2">
        <v>6</v>
      </c>
      <c r="P60" s="2">
        <v>7</v>
      </c>
      <c r="Q60" s="2">
        <v>6</v>
      </c>
      <c r="R60" s="2">
        <v>6</v>
      </c>
      <c r="S60" s="2">
        <v>7</v>
      </c>
      <c r="T60" s="2">
        <v>6</v>
      </c>
      <c r="U60" s="2">
        <v>4</v>
      </c>
      <c r="V60" s="2">
        <v>5</v>
      </c>
      <c r="W60" s="2">
        <v>6</v>
      </c>
      <c r="X60" s="2">
        <v>6</v>
      </c>
      <c r="Y60" s="2">
        <v>4</v>
      </c>
      <c r="Z60" s="2">
        <v>6</v>
      </c>
      <c r="AA60" s="2">
        <v>5</v>
      </c>
      <c r="AB60" s="2">
        <v>4</v>
      </c>
      <c r="AC60" s="2">
        <v>6</v>
      </c>
      <c r="AD60" s="2">
        <v>3</v>
      </c>
      <c r="AE60" s="2">
        <v>1</v>
      </c>
      <c r="AF60" s="2">
        <v>2</v>
      </c>
      <c r="AG60" s="2">
        <v>6</v>
      </c>
      <c r="AH60" s="2">
        <v>7</v>
      </c>
      <c r="AI60" s="3">
        <f t="shared" si="5"/>
        <v>4.5999999999999996</v>
      </c>
      <c r="AJ60" s="3">
        <f t="shared" si="6"/>
        <v>5.7</v>
      </c>
      <c r="AK60" s="3">
        <f t="shared" si="7"/>
        <v>5</v>
      </c>
      <c r="AL60" s="3">
        <f t="shared" si="8"/>
        <v>3</v>
      </c>
      <c r="AM60" s="3">
        <f t="shared" si="9"/>
        <v>6.5</v>
      </c>
    </row>
    <row r="61" spans="1:39" x14ac:dyDescent="0.2">
      <c r="A61" s="2" t="s">
        <v>91</v>
      </c>
      <c r="B61" s="2" t="s">
        <v>89</v>
      </c>
      <c r="C61" s="2" t="s">
        <v>51</v>
      </c>
      <c r="D61" s="2" t="s">
        <v>49</v>
      </c>
      <c r="E61" s="2" t="s">
        <v>50</v>
      </c>
      <c r="F61" s="2">
        <v>7</v>
      </c>
      <c r="G61" s="2">
        <v>7</v>
      </c>
      <c r="H61" s="2">
        <v>4</v>
      </c>
      <c r="I61" s="2">
        <v>4</v>
      </c>
      <c r="J61" s="2">
        <v>5</v>
      </c>
      <c r="K61" s="2">
        <v>6</v>
      </c>
      <c r="L61" s="2">
        <v>5</v>
      </c>
      <c r="M61" s="2">
        <v>6</v>
      </c>
      <c r="N61" s="2">
        <v>6</v>
      </c>
      <c r="O61" s="2">
        <v>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3">
        <f t="shared" si="5"/>
        <v>5.6</v>
      </c>
      <c r="AJ61" s="3" t="str">
        <f t="shared" si="6"/>
        <v/>
      </c>
      <c r="AK61" s="3" t="str">
        <f t="shared" si="7"/>
        <v/>
      </c>
      <c r="AL61" s="3" t="str">
        <f t="shared" si="8"/>
        <v/>
      </c>
      <c r="AM61" s="3" t="str">
        <f t="shared" si="9"/>
        <v/>
      </c>
    </row>
    <row r="62" spans="1:39" x14ac:dyDescent="0.2">
      <c r="A62" s="2" t="s">
        <v>91</v>
      </c>
      <c r="B62" s="2" t="s">
        <v>89</v>
      </c>
      <c r="C62" s="2" t="s">
        <v>48</v>
      </c>
      <c r="D62" s="2" t="s">
        <v>52</v>
      </c>
      <c r="E62" s="2" t="s">
        <v>53</v>
      </c>
      <c r="F62" s="2">
        <v>7</v>
      </c>
      <c r="G62" s="2">
        <v>7</v>
      </c>
      <c r="H62" s="2">
        <v>7</v>
      </c>
      <c r="I62" s="2">
        <v>7</v>
      </c>
      <c r="J62" s="2">
        <v>7</v>
      </c>
      <c r="K62" s="2">
        <v>7</v>
      </c>
      <c r="L62" s="2">
        <v>7</v>
      </c>
      <c r="M62" s="2">
        <v>7</v>
      </c>
      <c r="N62" s="2">
        <v>6</v>
      </c>
      <c r="O62" s="2">
        <v>6</v>
      </c>
      <c r="P62" s="2">
        <v>7</v>
      </c>
      <c r="Q62" s="2">
        <v>7</v>
      </c>
      <c r="R62" s="2">
        <v>7</v>
      </c>
      <c r="S62" s="2">
        <v>7</v>
      </c>
      <c r="T62" s="2">
        <v>7</v>
      </c>
      <c r="U62" s="2">
        <v>7</v>
      </c>
      <c r="V62" s="2">
        <v>7</v>
      </c>
      <c r="W62" s="2">
        <v>7</v>
      </c>
      <c r="X62" s="2">
        <v>7</v>
      </c>
      <c r="Y62" s="2">
        <v>7</v>
      </c>
      <c r="Z62" s="2">
        <v>6</v>
      </c>
      <c r="AA62" s="2">
        <v>6</v>
      </c>
      <c r="AB62" s="2">
        <v>6</v>
      </c>
      <c r="AC62" s="2">
        <v>2</v>
      </c>
      <c r="AD62" s="2">
        <v>2</v>
      </c>
      <c r="AE62" s="2">
        <v>1</v>
      </c>
      <c r="AF62" s="2">
        <v>1</v>
      </c>
      <c r="AG62" s="2">
        <v>7</v>
      </c>
      <c r="AH62" s="2">
        <v>7</v>
      </c>
      <c r="AI62" s="3">
        <f t="shared" si="5"/>
        <v>6.8</v>
      </c>
      <c r="AJ62" s="3">
        <f t="shared" si="6"/>
        <v>7</v>
      </c>
      <c r="AK62" s="3">
        <f t="shared" si="7"/>
        <v>6</v>
      </c>
      <c r="AL62" s="3">
        <f t="shared" si="8"/>
        <v>1.5</v>
      </c>
      <c r="AM62" s="3">
        <f t="shared" si="9"/>
        <v>7</v>
      </c>
    </row>
  </sheetData>
  <mergeCells count="7">
    <mergeCell ref="AG1:AH1"/>
    <mergeCell ref="AI1:AM1"/>
    <mergeCell ref="A1:E1"/>
    <mergeCell ref="F1:O1"/>
    <mergeCell ref="P1:Y1"/>
    <mergeCell ref="Z1:AB1"/>
    <mergeCell ref="AC1:AF1"/>
  </mergeCells>
  <pageMargins left="0.75" right="0.75" top="1" bottom="1" header="0.511811023622047" footer="0.511811023622047"/>
  <pageSetup paperSize="9" orientation="portrait" horizontalDpi="300" verticalDpi="300"/>
  <ignoredErrors>
    <ignoredError sqref="AI3:AM6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CA85-ABB0-CA47-99A0-197D586444A9}">
  <dimension ref="A1:G99"/>
  <sheetViews>
    <sheetView zoomScale="136" zoomScaleNormal="141" workbookViewId="0">
      <pane ySplit="1" topLeftCell="A2" activePane="bottomLeft" state="frozen"/>
      <selection pane="bottomLeft"/>
    </sheetView>
  </sheetViews>
  <sheetFormatPr baseColWidth="10" defaultColWidth="8.83203125" defaultRowHeight="14" x14ac:dyDescent="0.2"/>
  <cols>
    <col min="1" max="3" width="14" style="6" customWidth="1"/>
    <col min="4" max="4" width="14.1640625" style="6" customWidth="1"/>
    <col min="5" max="5" width="14" style="6" customWidth="1"/>
    <col min="6" max="7" width="14.1640625" style="6" customWidth="1"/>
    <col min="8" max="16384" width="8.83203125" style="6"/>
  </cols>
  <sheetData>
    <row r="1" spans="1:7" s="12" customFormat="1" ht="150" customHeight="1" x14ac:dyDescent="0.2">
      <c r="A1" s="5" t="s">
        <v>8</v>
      </c>
      <c r="B1" s="5" t="s">
        <v>9</v>
      </c>
      <c r="C1" s="5" t="s">
        <v>10</v>
      </c>
      <c r="D1" s="5" t="s">
        <v>11</v>
      </c>
      <c r="E1" s="5" t="s">
        <v>92</v>
      </c>
      <c r="F1" s="5" t="s">
        <v>93</v>
      </c>
      <c r="G1" s="5" t="s">
        <v>94</v>
      </c>
    </row>
    <row r="2" spans="1:7" x14ac:dyDescent="0.2">
      <c r="A2" s="7" t="s">
        <v>47</v>
      </c>
      <c r="B2" s="7" t="s">
        <v>48</v>
      </c>
      <c r="C2" s="7" t="s">
        <v>49</v>
      </c>
      <c r="D2" s="7" t="s">
        <v>50</v>
      </c>
      <c r="E2" s="7" t="s">
        <v>95</v>
      </c>
      <c r="F2" s="7">
        <v>4</v>
      </c>
      <c r="G2" s="7">
        <v>129</v>
      </c>
    </row>
    <row r="3" spans="1:7" x14ac:dyDescent="0.2">
      <c r="A3" s="7" t="s">
        <v>47</v>
      </c>
      <c r="B3" s="7" t="s">
        <v>48</v>
      </c>
      <c r="C3" s="7" t="s">
        <v>49</v>
      </c>
      <c r="D3" s="7" t="s">
        <v>50</v>
      </c>
      <c r="E3" s="7" t="s">
        <v>96</v>
      </c>
      <c r="F3" s="7">
        <v>6</v>
      </c>
      <c r="G3" s="7">
        <v>196</v>
      </c>
    </row>
    <row r="4" spans="1:7" x14ac:dyDescent="0.2">
      <c r="A4" s="7" t="s">
        <v>47</v>
      </c>
      <c r="B4" s="7" t="s">
        <v>48</v>
      </c>
      <c r="C4" s="7" t="s">
        <v>49</v>
      </c>
      <c r="D4" s="7" t="s">
        <v>50</v>
      </c>
      <c r="E4" s="7" t="s">
        <v>132</v>
      </c>
      <c r="F4" s="7">
        <v>9</v>
      </c>
      <c r="G4" s="7">
        <v>204</v>
      </c>
    </row>
    <row r="5" spans="1:7" x14ac:dyDescent="0.2">
      <c r="A5" s="7" t="s">
        <v>47</v>
      </c>
      <c r="B5" s="7" t="s">
        <v>48</v>
      </c>
      <c r="C5" s="7" t="s">
        <v>49</v>
      </c>
      <c r="D5" s="7" t="s">
        <v>50</v>
      </c>
      <c r="E5" s="7" t="s">
        <v>133</v>
      </c>
      <c r="F5" s="7">
        <v>7</v>
      </c>
      <c r="G5" s="7">
        <v>162</v>
      </c>
    </row>
    <row r="6" spans="1:7" x14ac:dyDescent="0.2">
      <c r="A6" s="7" t="s">
        <v>47</v>
      </c>
      <c r="B6" s="7" t="s">
        <v>51</v>
      </c>
      <c r="C6" s="7" t="s">
        <v>52</v>
      </c>
      <c r="D6" s="7" t="s">
        <v>53</v>
      </c>
      <c r="E6" s="7" t="s">
        <v>97</v>
      </c>
      <c r="F6" s="7">
        <v>4</v>
      </c>
      <c r="G6" s="7">
        <v>164</v>
      </c>
    </row>
    <row r="7" spans="1:7" x14ac:dyDescent="0.2">
      <c r="A7" s="7" t="s">
        <v>47</v>
      </c>
      <c r="B7" s="7" t="s">
        <v>51</v>
      </c>
      <c r="C7" s="7" t="s">
        <v>52</v>
      </c>
      <c r="D7" s="7" t="s">
        <v>53</v>
      </c>
      <c r="E7" s="7" t="s">
        <v>98</v>
      </c>
      <c r="F7" s="7">
        <v>3</v>
      </c>
      <c r="G7" s="7">
        <v>100</v>
      </c>
    </row>
    <row r="8" spans="1:7" x14ac:dyDescent="0.2">
      <c r="A8" s="7" t="s">
        <v>47</v>
      </c>
      <c r="B8" s="7" t="s">
        <v>51</v>
      </c>
      <c r="C8" s="7" t="s">
        <v>52</v>
      </c>
      <c r="D8" s="7" t="s">
        <v>53</v>
      </c>
      <c r="E8" s="7" t="s">
        <v>134</v>
      </c>
      <c r="F8" s="7">
        <v>5</v>
      </c>
      <c r="G8" s="7">
        <v>77</v>
      </c>
    </row>
    <row r="9" spans="1:7" x14ac:dyDescent="0.2">
      <c r="A9" s="7" t="s">
        <v>47</v>
      </c>
      <c r="B9" s="7" t="s">
        <v>51</v>
      </c>
      <c r="C9" s="7" t="s">
        <v>52</v>
      </c>
      <c r="D9" s="7" t="s">
        <v>53</v>
      </c>
      <c r="E9" s="7" t="s">
        <v>99</v>
      </c>
      <c r="F9" s="7">
        <v>3</v>
      </c>
      <c r="G9" s="7">
        <v>56</v>
      </c>
    </row>
    <row r="10" spans="1:7" x14ac:dyDescent="0.2">
      <c r="A10" s="7" t="s">
        <v>47</v>
      </c>
      <c r="B10" s="7" t="s">
        <v>51</v>
      </c>
      <c r="C10" s="7" t="s">
        <v>52</v>
      </c>
      <c r="D10" s="7" t="s">
        <v>53</v>
      </c>
      <c r="E10" s="7" t="s">
        <v>100</v>
      </c>
      <c r="F10" s="7">
        <v>3</v>
      </c>
      <c r="G10" s="7">
        <v>43</v>
      </c>
    </row>
    <row r="11" spans="1:7" x14ac:dyDescent="0.2">
      <c r="A11" s="7" t="s">
        <v>47</v>
      </c>
      <c r="B11" s="7" t="s">
        <v>51</v>
      </c>
      <c r="C11" s="7" t="s">
        <v>52</v>
      </c>
      <c r="D11" s="7" t="s">
        <v>53</v>
      </c>
      <c r="E11" s="7" t="s">
        <v>101</v>
      </c>
      <c r="F11" s="7">
        <v>4</v>
      </c>
      <c r="G11" s="7">
        <v>124</v>
      </c>
    </row>
    <row r="12" spans="1:7" x14ac:dyDescent="0.2">
      <c r="A12" s="7" t="s">
        <v>47</v>
      </c>
      <c r="B12" s="7" t="s">
        <v>51</v>
      </c>
      <c r="C12" s="7" t="s">
        <v>52</v>
      </c>
      <c r="D12" s="7" t="s">
        <v>53</v>
      </c>
      <c r="E12" s="7" t="s">
        <v>102</v>
      </c>
      <c r="F12" s="7">
        <v>3</v>
      </c>
      <c r="G12" s="7">
        <v>71</v>
      </c>
    </row>
    <row r="13" spans="1:7" x14ac:dyDescent="0.2">
      <c r="A13" s="7" t="s">
        <v>57</v>
      </c>
      <c r="B13" s="7" t="s">
        <v>51</v>
      </c>
      <c r="C13" s="7" t="s">
        <v>49</v>
      </c>
      <c r="D13" s="7" t="s">
        <v>50</v>
      </c>
      <c r="E13" s="7" t="s">
        <v>105</v>
      </c>
      <c r="F13" s="7">
        <v>5</v>
      </c>
      <c r="G13" s="7">
        <v>152</v>
      </c>
    </row>
    <row r="14" spans="1:7" x14ac:dyDescent="0.2">
      <c r="A14" s="7" t="s">
        <v>57</v>
      </c>
      <c r="B14" s="7" t="s">
        <v>51</v>
      </c>
      <c r="C14" s="7" t="s">
        <v>49</v>
      </c>
      <c r="D14" s="7" t="s">
        <v>50</v>
      </c>
      <c r="E14" s="7" t="s">
        <v>136</v>
      </c>
      <c r="F14" s="7">
        <v>5</v>
      </c>
      <c r="G14" s="7">
        <v>42</v>
      </c>
    </row>
    <row r="15" spans="1:7" x14ac:dyDescent="0.2">
      <c r="A15" s="7" t="s">
        <v>57</v>
      </c>
      <c r="B15" s="7" t="s">
        <v>51</v>
      </c>
      <c r="C15" s="7" t="s">
        <v>49</v>
      </c>
      <c r="D15" s="7" t="s">
        <v>50</v>
      </c>
      <c r="E15" s="7" t="s">
        <v>106</v>
      </c>
      <c r="F15" s="7">
        <v>3</v>
      </c>
      <c r="G15" s="7">
        <v>39</v>
      </c>
    </row>
    <row r="16" spans="1:7" x14ac:dyDescent="0.2">
      <c r="A16" s="7" t="s">
        <v>57</v>
      </c>
      <c r="B16" s="7" t="s">
        <v>51</v>
      </c>
      <c r="C16" s="7" t="s">
        <v>49</v>
      </c>
      <c r="D16" s="7" t="s">
        <v>50</v>
      </c>
      <c r="E16" s="7" t="s">
        <v>95</v>
      </c>
      <c r="F16" s="7">
        <v>5</v>
      </c>
      <c r="G16" s="7">
        <v>85</v>
      </c>
    </row>
    <row r="17" spans="1:7" x14ac:dyDescent="0.2">
      <c r="A17" s="7" t="s">
        <v>57</v>
      </c>
      <c r="B17" s="7" t="s">
        <v>51</v>
      </c>
      <c r="C17" s="7" t="s">
        <v>49</v>
      </c>
      <c r="D17" s="7" t="s">
        <v>50</v>
      </c>
      <c r="E17" s="7" t="s">
        <v>107</v>
      </c>
      <c r="F17" s="7">
        <v>5</v>
      </c>
      <c r="G17" s="7">
        <v>85</v>
      </c>
    </row>
    <row r="18" spans="1:7" x14ac:dyDescent="0.2">
      <c r="A18" s="7" t="s">
        <v>57</v>
      </c>
      <c r="B18" s="7" t="s">
        <v>48</v>
      </c>
      <c r="C18" s="7" t="s">
        <v>52</v>
      </c>
      <c r="D18" s="7" t="s">
        <v>53</v>
      </c>
      <c r="E18" s="7" t="s">
        <v>134</v>
      </c>
      <c r="F18" s="7">
        <v>6</v>
      </c>
      <c r="G18" s="7">
        <v>115</v>
      </c>
    </row>
    <row r="19" spans="1:7" x14ac:dyDescent="0.2">
      <c r="A19" s="7" t="s">
        <v>57</v>
      </c>
      <c r="B19" s="7" t="s">
        <v>48</v>
      </c>
      <c r="C19" s="7" t="s">
        <v>52</v>
      </c>
      <c r="D19" s="7" t="s">
        <v>53</v>
      </c>
      <c r="E19" s="7" t="s">
        <v>103</v>
      </c>
      <c r="F19" s="7">
        <v>8</v>
      </c>
      <c r="G19" s="7">
        <v>155</v>
      </c>
    </row>
    <row r="20" spans="1:7" x14ac:dyDescent="0.2">
      <c r="A20" s="7" t="s">
        <v>57</v>
      </c>
      <c r="B20" s="7" t="s">
        <v>48</v>
      </c>
      <c r="C20" s="7" t="s">
        <v>52</v>
      </c>
      <c r="D20" s="7" t="s">
        <v>53</v>
      </c>
      <c r="E20" s="7" t="s">
        <v>104</v>
      </c>
      <c r="F20" s="7">
        <v>5</v>
      </c>
      <c r="G20" s="7">
        <v>141</v>
      </c>
    </row>
    <row r="21" spans="1:7" x14ac:dyDescent="0.2">
      <c r="A21" s="7" t="s">
        <v>61</v>
      </c>
      <c r="B21" s="7" t="s">
        <v>48</v>
      </c>
      <c r="C21" s="7" t="s">
        <v>49</v>
      </c>
      <c r="D21" s="7" t="s">
        <v>53</v>
      </c>
      <c r="E21" s="7" t="s">
        <v>108</v>
      </c>
      <c r="F21" s="7">
        <v>7</v>
      </c>
      <c r="G21" s="7">
        <v>132</v>
      </c>
    </row>
    <row r="22" spans="1:7" x14ac:dyDescent="0.2">
      <c r="A22" s="7" t="s">
        <v>61</v>
      </c>
      <c r="B22" s="7" t="s">
        <v>48</v>
      </c>
      <c r="C22" s="7" t="s">
        <v>49</v>
      </c>
      <c r="D22" s="7" t="s">
        <v>53</v>
      </c>
      <c r="E22" s="7" t="s">
        <v>137</v>
      </c>
      <c r="F22" s="7">
        <v>6</v>
      </c>
      <c r="G22" s="7">
        <v>97</v>
      </c>
    </row>
    <row r="23" spans="1:7" x14ac:dyDescent="0.2">
      <c r="A23" s="7" t="s">
        <v>61</v>
      </c>
      <c r="B23" s="7" t="s">
        <v>48</v>
      </c>
      <c r="C23" s="7" t="s">
        <v>49</v>
      </c>
      <c r="D23" s="7" t="s">
        <v>53</v>
      </c>
      <c r="E23" s="7" t="s">
        <v>138</v>
      </c>
      <c r="F23" s="7">
        <v>4</v>
      </c>
      <c r="G23" s="7">
        <v>351</v>
      </c>
    </row>
    <row r="24" spans="1:7" x14ac:dyDescent="0.2">
      <c r="A24" s="7" t="s">
        <v>61</v>
      </c>
      <c r="B24" s="7" t="s">
        <v>48</v>
      </c>
      <c r="C24" s="7" t="s">
        <v>49</v>
      </c>
      <c r="D24" s="7" t="s">
        <v>53</v>
      </c>
      <c r="E24" s="7" t="s">
        <v>139</v>
      </c>
      <c r="F24" s="7">
        <v>8</v>
      </c>
      <c r="G24" s="7">
        <v>151</v>
      </c>
    </row>
    <row r="25" spans="1:7" x14ac:dyDescent="0.2">
      <c r="A25" s="7" t="s">
        <v>61</v>
      </c>
      <c r="B25" s="7" t="s">
        <v>51</v>
      </c>
      <c r="C25" s="7" t="s">
        <v>52</v>
      </c>
      <c r="D25" s="7" t="s">
        <v>50</v>
      </c>
      <c r="E25" s="7" t="s">
        <v>140</v>
      </c>
      <c r="F25" s="7">
        <v>5</v>
      </c>
      <c r="G25" s="7">
        <v>111</v>
      </c>
    </row>
    <row r="26" spans="1:7" x14ac:dyDescent="0.2">
      <c r="A26" s="7" t="s">
        <v>61</v>
      </c>
      <c r="B26" s="7" t="s">
        <v>51</v>
      </c>
      <c r="C26" s="7" t="s">
        <v>52</v>
      </c>
      <c r="D26" s="7" t="s">
        <v>50</v>
      </c>
      <c r="E26" s="7" t="s">
        <v>105</v>
      </c>
      <c r="F26" s="7">
        <v>3</v>
      </c>
      <c r="G26" s="7">
        <v>171</v>
      </c>
    </row>
    <row r="27" spans="1:7" x14ac:dyDescent="0.2">
      <c r="A27" s="7" t="s">
        <v>61</v>
      </c>
      <c r="B27" s="7" t="s">
        <v>51</v>
      </c>
      <c r="C27" s="7" t="s">
        <v>52</v>
      </c>
      <c r="D27" s="7" t="s">
        <v>50</v>
      </c>
      <c r="E27" s="7" t="s">
        <v>141</v>
      </c>
      <c r="F27" s="7">
        <v>4</v>
      </c>
      <c r="G27" s="7">
        <v>122</v>
      </c>
    </row>
    <row r="28" spans="1:7" x14ac:dyDescent="0.2">
      <c r="A28" s="7" t="s">
        <v>61</v>
      </c>
      <c r="B28" s="7" t="s">
        <v>51</v>
      </c>
      <c r="C28" s="7" t="s">
        <v>52</v>
      </c>
      <c r="D28" s="7" t="s">
        <v>50</v>
      </c>
      <c r="E28" s="7" t="s">
        <v>142</v>
      </c>
      <c r="F28" s="7">
        <v>7</v>
      </c>
      <c r="G28" s="7">
        <v>137</v>
      </c>
    </row>
    <row r="29" spans="1:7" x14ac:dyDescent="0.2">
      <c r="A29" s="7" t="s">
        <v>61</v>
      </c>
      <c r="B29" s="7" t="s">
        <v>51</v>
      </c>
      <c r="C29" s="7" t="s">
        <v>52</v>
      </c>
      <c r="D29" s="7" t="s">
        <v>50</v>
      </c>
      <c r="E29" s="7" t="s">
        <v>106</v>
      </c>
      <c r="F29" s="7">
        <v>4</v>
      </c>
      <c r="G29" s="7">
        <v>57</v>
      </c>
    </row>
    <row r="30" spans="1:7" x14ac:dyDescent="0.2">
      <c r="A30" s="7" t="s">
        <v>65</v>
      </c>
      <c r="B30" s="7" t="s">
        <v>51</v>
      </c>
      <c r="C30" s="7" t="s">
        <v>49</v>
      </c>
      <c r="D30" s="7" t="s">
        <v>53</v>
      </c>
      <c r="E30" s="7" t="s">
        <v>99</v>
      </c>
      <c r="F30" s="7">
        <v>4</v>
      </c>
      <c r="G30" s="7">
        <v>73</v>
      </c>
    </row>
    <row r="31" spans="1:7" x14ac:dyDescent="0.2">
      <c r="A31" s="7" t="s">
        <v>65</v>
      </c>
      <c r="B31" s="7" t="s">
        <v>51</v>
      </c>
      <c r="C31" s="7" t="s">
        <v>49</v>
      </c>
      <c r="D31" s="7" t="s">
        <v>53</v>
      </c>
      <c r="E31" s="7" t="s">
        <v>110</v>
      </c>
      <c r="F31" s="7">
        <v>1</v>
      </c>
      <c r="G31" s="7">
        <v>73</v>
      </c>
    </row>
    <row r="32" spans="1:7" x14ac:dyDescent="0.2">
      <c r="A32" s="7" t="s">
        <v>65</v>
      </c>
      <c r="B32" s="7" t="s">
        <v>51</v>
      </c>
      <c r="C32" s="7" t="s">
        <v>49</v>
      </c>
      <c r="D32" s="7" t="s">
        <v>53</v>
      </c>
      <c r="E32" s="7" t="s">
        <v>111</v>
      </c>
      <c r="F32" s="7">
        <v>3</v>
      </c>
      <c r="G32" s="7">
        <v>30</v>
      </c>
    </row>
    <row r="33" spans="1:7" x14ac:dyDescent="0.2">
      <c r="A33" s="7" t="s">
        <v>65</v>
      </c>
      <c r="B33" s="7" t="s">
        <v>51</v>
      </c>
      <c r="C33" s="7" t="s">
        <v>49</v>
      </c>
      <c r="D33" s="7" t="s">
        <v>53</v>
      </c>
      <c r="E33" s="7" t="s">
        <v>112</v>
      </c>
      <c r="F33" s="7">
        <v>5</v>
      </c>
      <c r="G33" s="7">
        <v>104</v>
      </c>
    </row>
    <row r="34" spans="1:7" x14ac:dyDescent="0.2">
      <c r="A34" s="7" t="s">
        <v>65</v>
      </c>
      <c r="B34" s="7" t="s">
        <v>51</v>
      </c>
      <c r="C34" s="7" t="s">
        <v>49</v>
      </c>
      <c r="D34" s="7" t="s">
        <v>53</v>
      </c>
      <c r="E34" s="7" t="s">
        <v>108</v>
      </c>
      <c r="F34" s="7">
        <v>3</v>
      </c>
      <c r="G34" s="7">
        <v>28</v>
      </c>
    </row>
    <row r="35" spans="1:7" x14ac:dyDescent="0.2">
      <c r="A35" s="7" t="s">
        <v>65</v>
      </c>
      <c r="B35" s="7" t="s">
        <v>48</v>
      </c>
      <c r="C35" s="7" t="s">
        <v>52</v>
      </c>
      <c r="D35" s="7" t="s">
        <v>50</v>
      </c>
      <c r="E35" s="7" t="s">
        <v>143</v>
      </c>
      <c r="F35" s="7">
        <v>4</v>
      </c>
      <c r="G35" s="7">
        <v>206</v>
      </c>
    </row>
    <row r="36" spans="1:7" x14ac:dyDescent="0.2">
      <c r="A36" s="7" t="s">
        <v>65</v>
      </c>
      <c r="B36" s="7" t="s">
        <v>48</v>
      </c>
      <c r="C36" s="7" t="s">
        <v>52</v>
      </c>
      <c r="D36" s="7" t="s">
        <v>50</v>
      </c>
      <c r="E36" s="7" t="s">
        <v>144</v>
      </c>
      <c r="F36" s="7">
        <v>3</v>
      </c>
      <c r="G36" s="7">
        <v>166</v>
      </c>
    </row>
    <row r="37" spans="1:7" x14ac:dyDescent="0.2">
      <c r="A37" s="7" t="s">
        <v>65</v>
      </c>
      <c r="B37" s="7" t="s">
        <v>48</v>
      </c>
      <c r="C37" s="7" t="s">
        <v>52</v>
      </c>
      <c r="D37" s="7" t="s">
        <v>50</v>
      </c>
      <c r="E37" s="7" t="s">
        <v>113</v>
      </c>
      <c r="F37" s="7">
        <v>6</v>
      </c>
      <c r="G37" s="7">
        <v>315</v>
      </c>
    </row>
    <row r="38" spans="1:7" x14ac:dyDescent="0.2">
      <c r="A38" s="7" t="s">
        <v>65</v>
      </c>
      <c r="B38" s="7" t="s">
        <v>48</v>
      </c>
      <c r="C38" s="7" t="s">
        <v>52</v>
      </c>
      <c r="D38" s="7" t="s">
        <v>50</v>
      </c>
      <c r="E38" s="7" t="s">
        <v>115</v>
      </c>
      <c r="F38" s="7">
        <v>3</v>
      </c>
      <c r="G38" s="7">
        <v>94</v>
      </c>
    </row>
    <row r="39" spans="1:7" x14ac:dyDescent="0.2">
      <c r="A39" s="7" t="s">
        <v>65</v>
      </c>
      <c r="B39" s="7" t="s">
        <v>48</v>
      </c>
      <c r="C39" s="7" t="s">
        <v>52</v>
      </c>
      <c r="D39" s="7" t="s">
        <v>50</v>
      </c>
      <c r="E39" s="7" t="s">
        <v>116</v>
      </c>
      <c r="F39" s="7">
        <v>9</v>
      </c>
      <c r="G39" s="7">
        <v>163</v>
      </c>
    </row>
    <row r="40" spans="1:7" x14ac:dyDescent="0.2">
      <c r="A40" s="7" t="s">
        <v>65</v>
      </c>
      <c r="B40" s="7" t="s">
        <v>48</v>
      </c>
      <c r="C40" s="7" t="s">
        <v>52</v>
      </c>
      <c r="D40" s="7" t="s">
        <v>50</v>
      </c>
      <c r="E40" s="7" t="s">
        <v>145</v>
      </c>
      <c r="F40" s="7">
        <v>5</v>
      </c>
      <c r="G40" s="7">
        <v>193</v>
      </c>
    </row>
    <row r="41" spans="1:7" x14ac:dyDescent="0.2">
      <c r="A41" s="7" t="s">
        <v>69</v>
      </c>
      <c r="B41" s="7" t="s">
        <v>48</v>
      </c>
      <c r="C41" s="7" t="s">
        <v>49</v>
      </c>
      <c r="D41" s="7" t="s">
        <v>50</v>
      </c>
      <c r="E41" s="7" t="s">
        <v>146</v>
      </c>
      <c r="F41" s="7">
        <v>3</v>
      </c>
      <c r="G41" s="7">
        <v>146</v>
      </c>
    </row>
    <row r="42" spans="1:7" x14ac:dyDescent="0.2">
      <c r="A42" s="7" t="s">
        <v>69</v>
      </c>
      <c r="B42" s="7" t="s">
        <v>48</v>
      </c>
      <c r="C42" s="7" t="s">
        <v>49</v>
      </c>
      <c r="D42" s="7" t="s">
        <v>50</v>
      </c>
      <c r="E42" s="7" t="s">
        <v>147</v>
      </c>
      <c r="F42" s="7">
        <v>3</v>
      </c>
      <c r="G42" s="7">
        <v>135</v>
      </c>
    </row>
    <row r="43" spans="1:7" x14ac:dyDescent="0.2">
      <c r="A43" s="7" t="s">
        <v>69</v>
      </c>
      <c r="B43" s="7" t="s">
        <v>48</v>
      </c>
      <c r="C43" s="7" t="s">
        <v>49</v>
      </c>
      <c r="D43" s="7" t="s">
        <v>50</v>
      </c>
      <c r="E43" s="7" t="s">
        <v>148</v>
      </c>
      <c r="F43" s="7">
        <v>8</v>
      </c>
      <c r="G43" s="7">
        <v>216</v>
      </c>
    </row>
    <row r="44" spans="1:7" x14ac:dyDescent="0.2">
      <c r="A44" s="7" t="s">
        <v>69</v>
      </c>
      <c r="B44" s="7" t="s">
        <v>48</v>
      </c>
      <c r="C44" s="7" t="s">
        <v>49</v>
      </c>
      <c r="D44" s="7" t="s">
        <v>50</v>
      </c>
      <c r="E44" s="7" t="s">
        <v>106</v>
      </c>
      <c r="F44" s="7">
        <v>5</v>
      </c>
      <c r="G44" s="7">
        <v>159</v>
      </c>
    </row>
    <row r="45" spans="1:7" x14ac:dyDescent="0.2">
      <c r="A45" s="7" t="s">
        <v>69</v>
      </c>
      <c r="B45" s="7" t="s">
        <v>48</v>
      </c>
      <c r="C45" s="7" t="s">
        <v>49</v>
      </c>
      <c r="D45" s="7" t="s">
        <v>50</v>
      </c>
      <c r="E45" s="7" t="s">
        <v>128</v>
      </c>
      <c r="F45" s="7">
        <v>7</v>
      </c>
      <c r="G45" s="7">
        <v>172</v>
      </c>
    </row>
    <row r="46" spans="1:7" x14ac:dyDescent="0.2">
      <c r="A46" s="7" t="s">
        <v>69</v>
      </c>
      <c r="B46" s="7" t="s">
        <v>48</v>
      </c>
      <c r="C46" s="7" t="s">
        <v>49</v>
      </c>
      <c r="D46" s="7" t="s">
        <v>50</v>
      </c>
      <c r="E46" s="7" t="s">
        <v>105</v>
      </c>
      <c r="F46" s="7">
        <v>6</v>
      </c>
      <c r="G46" s="7">
        <v>120</v>
      </c>
    </row>
    <row r="47" spans="1:7" x14ac:dyDescent="0.2">
      <c r="A47" s="7" t="s">
        <v>69</v>
      </c>
      <c r="B47" s="7" t="s">
        <v>48</v>
      </c>
      <c r="C47" s="7" t="s">
        <v>49</v>
      </c>
      <c r="D47" s="7" t="s">
        <v>50</v>
      </c>
      <c r="E47" s="7" t="s">
        <v>113</v>
      </c>
      <c r="F47" s="7">
        <v>7</v>
      </c>
      <c r="G47" s="7">
        <v>197</v>
      </c>
    </row>
    <row r="48" spans="1:7" x14ac:dyDescent="0.2">
      <c r="A48" s="7" t="s">
        <v>69</v>
      </c>
      <c r="B48" s="7" t="s">
        <v>51</v>
      </c>
      <c r="C48" s="7" t="s">
        <v>52</v>
      </c>
      <c r="D48" s="7" t="s">
        <v>53</v>
      </c>
      <c r="E48" s="7" t="s">
        <v>134</v>
      </c>
      <c r="F48" s="7">
        <v>5</v>
      </c>
      <c r="G48" s="7">
        <v>66</v>
      </c>
    </row>
    <row r="49" spans="1:7" x14ac:dyDescent="0.2">
      <c r="A49" s="7" t="s">
        <v>69</v>
      </c>
      <c r="B49" s="7" t="s">
        <v>51</v>
      </c>
      <c r="C49" s="7" t="s">
        <v>52</v>
      </c>
      <c r="D49" s="7" t="s">
        <v>53</v>
      </c>
      <c r="E49" s="7" t="s">
        <v>117</v>
      </c>
      <c r="F49" s="7">
        <v>6</v>
      </c>
      <c r="G49" s="7">
        <v>131</v>
      </c>
    </row>
    <row r="50" spans="1:7" x14ac:dyDescent="0.2">
      <c r="A50" s="7" t="s">
        <v>69</v>
      </c>
      <c r="B50" s="7" t="s">
        <v>51</v>
      </c>
      <c r="C50" s="7" t="s">
        <v>52</v>
      </c>
      <c r="D50" s="7" t="s">
        <v>53</v>
      </c>
      <c r="E50" s="7" t="s">
        <v>149</v>
      </c>
      <c r="F50" s="7">
        <v>4</v>
      </c>
      <c r="G50" s="7">
        <v>70</v>
      </c>
    </row>
    <row r="51" spans="1:7" x14ac:dyDescent="0.2">
      <c r="A51" s="7" t="s">
        <v>69</v>
      </c>
      <c r="B51" s="7" t="s">
        <v>51</v>
      </c>
      <c r="C51" s="7" t="s">
        <v>52</v>
      </c>
      <c r="D51" s="7" t="s">
        <v>53</v>
      </c>
      <c r="E51" s="7" t="s">
        <v>118</v>
      </c>
      <c r="F51" s="7">
        <v>2</v>
      </c>
      <c r="G51" s="7">
        <v>49</v>
      </c>
    </row>
    <row r="52" spans="1:7" x14ac:dyDescent="0.2">
      <c r="A52" s="7" t="s">
        <v>73</v>
      </c>
      <c r="B52" s="7" t="s">
        <v>51</v>
      </c>
      <c r="C52" s="7" t="s">
        <v>49</v>
      </c>
      <c r="D52" s="7" t="s">
        <v>50</v>
      </c>
      <c r="E52" s="7" t="s">
        <v>119</v>
      </c>
      <c r="F52" s="7">
        <v>9</v>
      </c>
      <c r="G52" s="7">
        <v>133</v>
      </c>
    </row>
    <row r="53" spans="1:7" x14ac:dyDescent="0.2">
      <c r="A53" s="7" t="s">
        <v>73</v>
      </c>
      <c r="B53" s="7" t="s">
        <v>51</v>
      </c>
      <c r="C53" s="7" t="s">
        <v>49</v>
      </c>
      <c r="D53" s="7" t="s">
        <v>50</v>
      </c>
      <c r="E53" s="7" t="s">
        <v>96</v>
      </c>
      <c r="F53" s="7">
        <v>6</v>
      </c>
      <c r="G53" s="7">
        <v>172</v>
      </c>
    </row>
    <row r="54" spans="1:7" x14ac:dyDescent="0.2">
      <c r="A54" s="7" t="s">
        <v>73</v>
      </c>
      <c r="B54" s="7" t="s">
        <v>51</v>
      </c>
      <c r="C54" s="7" t="s">
        <v>49</v>
      </c>
      <c r="D54" s="7" t="s">
        <v>50</v>
      </c>
      <c r="E54" s="7" t="s">
        <v>114</v>
      </c>
      <c r="F54" s="7">
        <v>6</v>
      </c>
      <c r="G54" s="7">
        <v>139</v>
      </c>
    </row>
    <row r="55" spans="1:7" x14ac:dyDescent="0.2">
      <c r="A55" s="7" t="s">
        <v>73</v>
      </c>
      <c r="B55" s="7" t="s">
        <v>51</v>
      </c>
      <c r="C55" s="7" t="s">
        <v>49</v>
      </c>
      <c r="D55" s="7" t="s">
        <v>50</v>
      </c>
      <c r="E55" s="7" t="s">
        <v>153</v>
      </c>
      <c r="F55" s="7">
        <v>3</v>
      </c>
      <c r="G55" s="7">
        <v>36</v>
      </c>
    </row>
    <row r="56" spans="1:7" x14ac:dyDescent="0.2">
      <c r="A56" s="7" t="s">
        <v>73</v>
      </c>
      <c r="B56" s="7" t="s">
        <v>51</v>
      </c>
      <c r="C56" s="7" t="s">
        <v>49</v>
      </c>
      <c r="D56" s="7" t="s">
        <v>50</v>
      </c>
      <c r="E56" s="7" t="s">
        <v>154</v>
      </c>
      <c r="F56" s="7">
        <v>6</v>
      </c>
      <c r="G56" s="7">
        <v>102</v>
      </c>
    </row>
    <row r="57" spans="1:7" x14ac:dyDescent="0.2">
      <c r="A57" s="7" t="s">
        <v>73</v>
      </c>
      <c r="B57" s="7" t="s">
        <v>51</v>
      </c>
      <c r="C57" s="7" t="s">
        <v>49</v>
      </c>
      <c r="D57" s="7" t="s">
        <v>50</v>
      </c>
      <c r="E57" s="7" t="s">
        <v>105</v>
      </c>
      <c r="F57" s="7">
        <v>4</v>
      </c>
      <c r="G57" s="7">
        <v>127</v>
      </c>
    </row>
    <row r="58" spans="1:7" x14ac:dyDescent="0.2">
      <c r="A58" s="7" t="s">
        <v>73</v>
      </c>
      <c r="B58" s="7" t="s">
        <v>48</v>
      </c>
      <c r="C58" s="7" t="s">
        <v>52</v>
      </c>
      <c r="D58" s="7" t="s">
        <v>53</v>
      </c>
      <c r="E58" s="7" t="s">
        <v>137</v>
      </c>
      <c r="F58" s="7">
        <v>12</v>
      </c>
      <c r="G58" s="7">
        <v>355</v>
      </c>
    </row>
    <row r="59" spans="1:7" x14ac:dyDescent="0.2">
      <c r="A59" s="7" t="s">
        <v>73</v>
      </c>
      <c r="B59" s="7" t="s">
        <v>48</v>
      </c>
      <c r="C59" s="7" t="s">
        <v>52</v>
      </c>
      <c r="D59" s="7" t="s">
        <v>53</v>
      </c>
      <c r="E59" s="7" t="s">
        <v>109</v>
      </c>
      <c r="F59" s="7">
        <v>8</v>
      </c>
      <c r="G59" s="7">
        <v>218</v>
      </c>
    </row>
    <row r="60" spans="1:7" x14ac:dyDescent="0.2">
      <c r="A60" s="7" t="s">
        <v>73</v>
      </c>
      <c r="B60" s="7" t="s">
        <v>48</v>
      </c>
      <c r="C60" s="7" t="s">
        <v>52</v>
      </c>
      <c r="D60" s="7" t="s">
        <v>53</v>
      </c>
      <c r="E60" s="7" t="s">
        <v>150</v>
      </c>
      <c r="F60" s="7">
        <v>5</v>
      </c>
      <c r="G60" s="7">
        <v>181</v>
      </c>
    </row>
    <row r="61" spans="1:7" x14ac:dyDescent="0.2">
      <c r="A61" s="7" t="s">
        <v>73</v>
      </c>
      <c r="B61" s="7" t="s">
        <v>48</v>
      </c>
      <c r="C61" s="7" t="s">
        <v>52</v>
      </c>
      <c r="D61" s="7" t="s">
        <v>53</v>
      </c>
      <c r="E61" s="7" t="s">
        <v>151</v>
      </c>
      <c r="F61" s="7">
        <v>10</v>
      </c>
      <c r="G61" s="7">
        <v>263</v>
      </c>
    </row>
    <row r="62" spans="1:7" x14ac:dyDescent="0.2">
      <c r="A62" s="7" t="s">
        <v>73</v>
      </c>
      <c r="B62" s="7" t="s">
        <v>48</v>
      </c>
      <c r="C62" s="7" t="s">
        <v>52</v>
      </c>
      <c r="D62" s="7" t="s">
        <v>53</v>
      </c>
      <c r="E62" s="7" t="s">
        <v>152</v>
      </c>
      <c r="F62" s="7">
        <v>7</v>
      </c>
      <c r="G62" s="7">
        <v>255</v>
      </c>
    </row>
    <row r="63" spans="1:7" x14ac:dyDescent="0.2">
      <c r="A63" s="7" t="s">
        <v>73</v>
      </c>
      <c r="B63" s="7" t="s">
        <v>48</v>
      </c>
      <c r="C63" s="7" t="s">
        <v>52</v>
      </c>
      <c r="D63" s="7" t="s">
        <v>53</v>
      </c>
      <c r="E63" s="7" t="s">
        <v>135</v>
      </c>
      <c r="F63" s="7">
        <v>3</v>
      </c>
      <c r="G63" s="7">
        <v>109</v>
      </c>
    </row>
    <row r="64" spans="1:7" x14ac:dyDescent="0.2">
      <c r="A64" s="7" t="s">
        <v>77</v>
      </c>
      <c r="B64" s="7" t="s">
        <v>48</v>
      </c>
      <c r="C64" s="7" t="s">
        <v>49</v>
      </c>
      <c r="D64" s="7" t="s">
        <v>53</v>
      </c>
      <c r="E64" s="7" t="s">
        <v>111</v>
      </c>
      <c r="F64" s="7">
        <v>3</v>
      </c>
      <c r="G64" s="7">
        <v>156</v>
      </c>
    </row>
    <row r="65" spans="1:7" x14ac:dyDescent="0.2">
      <c r="A65" s="7" t="s">
        <v>77</v>
      </c>
      <c r="B65" s="7" t="s">
        <v>48</v>
      </c>
      <c r="C65" s="7" t="s">
        <v>49</v>
      </c>
      <c r="D65" s="7" t="s">
        <v>53</v>
      </c>
      <c r="E65" s="7" t="s">
        <v>151</v>
      </c>
      <c r="F65" s="7">
        <v>8</v>
      </c>
      <c r="G65" s="7">
        <v>306</v>
      </c>
    </row>
    <row r="66" spans="1:7" x14ac:dyDescent="0.2">
      <c r="A66" s="7" t="s">
        <v>77</v>
      </c>
      <c r="B66" s="7" t="s">
        <v>48</v>
      </c>
      <c r="C66" s="7" t="s">
        <v>49</v>
      </c>
      <c r="D66" s="7" t="s">
        <v>53</v>
      </c>
      <c r="E66" s="7" t="s">
        <v>103</v>
      </c>
      <c r="F66" s="7">
        <v>5</v>
      </c>
      <c r="G66" s="7">
        <v>120</v>
      </c>
    </row>
    <row r="67" spans="1:7" x14ac:dyDescent="0.2">
      <c r="A67" s="7" t="s">
        <v>77</v>
      </c>
      <c r="B67" s="7" t="s">
        <v>48</v>
      </c>
      <c r="C67" s="7" t="s">
        <v>49</v>
      </c>
      <c r="D67" s="7" t="s">
        <v>53</v>
      </c>
      <c r="E67" s="7" t="s">
        <v>122</v>
      </c>
      <c r="F67" s="7">
        <v>3</v>
      </c>
      <c r="G67" s="7">
        <v>131</v>
      </c>
    </row>
    <row r="68" spans="1:7" x14ac:dyDescent="0.2">
      <c r="A68" s="7" t="s">
        <v>77</v>
      </c>
      <c r="B68" s="7" t="s">
        <v>48</v>
      </c>
      <c r="C68" s="7" t="s">
        <v>49</v>
      </c>
      <c r="D68" s="7" t="s">
        <v>53</v>
      </c>
      <c r="E68" s="7" t="s">
        <v>100</v>
      </c>
      <c r="F68" s="7">
        <v>10</v>
      </c>
      <c r="G68" s="7">
        <v>270</v>
      </c>
    </row>
    <row r="69" spans="1:7" x14ac:dyDescent="0.2">
      <c r="A69" s="7" t="s">
        <v>77</v>
      </c>
      <c r="B69" s="7" t="s">
        <v>48</v>
      </c>
      <c r="C69" s="7" t="s">
        <v>49</v>
      </c>
      <c r="D69" s="7" t="s">
        <v>53</v>
      </c>
      <c r="E69" s="7" t="s">
        <v>99</v>
      </c>
      <c r="F69" s="7">
        <v>8</v>
      </c>
      <c r="G69" s="7">
        <v>173</v>
      </c>
    </row>
    <row r="70" spans="1:7" x14ac:dyDescent="0.2">
      <c r="A70" s="7" t="s">
        <v>77</v>
      </c>
      <c r="B70" s="7" t="s">
        <v>51</v>
      </c>
      <c r="C70" s="7" t="s">
        <v>52</v>
      </c>
      <c r="D70" s="7" t="s">
        <v>50</v>
      </c>
      <c r="E70" s="7" t="s">
        <v>120</v>
      </c>
      <c r="F70" s="7">
        <v>7</v>
      </c>
      <c r="G70" s="7">
        <v>169</v>
      </c>
    </row>
    <row r="71" spans="1:7" x14ac:dyDescent="0.2">
      <c r="A71" s="7" t="s">
        <v>77</v>
      </c>
      <c r="B71" s="7" t="s">
        <v>51</v>
      </c>
      <c r="C71" s="7" t="s">
        <v>52</v>
      </c>
      <c r="D71" s="7" t="s">
        <v>50</v>
      </c>
      <c r="E71" s="7" t="s">
        <v>121</v>
      </c>
      <c r="F71" s="7">
        <v>7</v>
      </c>
      <c r="G71" s="7">
        <v>169</v>
      </c>
    </row>
    <row r="72" spans="1:7" x14ac:dyDescent="0.2">
      <c r="A72" s="7" t="s">
        <v>77</v>
      </c>
      <c r="B72" s="7" t="s">
        <v>51</v>
      </c>
      <c r="C72" s="7" t="s">
        <v>52</v>
      </c>
      <c r="D72" s="7" t="s">
        <v>50</v>
      </c>
      <c r="E72" s="7" t="s">
        <v>105</v>
      </c>
      <c r="F72" s="7">
        <v>6</v>
      </c>
      <c r="G72" s="7">
        <v>195</v>
      </c>
    </row>
    <row r="73" spans="1:7" x14ac:dyDescent="0.2">
      <c r="A73" s="7" t="s">
        <v>77</v>
      </c>
      <c r="B73" s="7" t="s">
        <v>51</v>
      </c>
      <c r="C73" s="7" t="s">
        <v>52</v>
      </c>
      <c r="D73" s="7" t="s">
        <v>50</v>
      </c>
      <c r="E73" s="7" t="s">
        <v>155</v>
      </c>
      <c r="F73" s="7">
        <v>5</v>
      </c>
      <c r="G73" s="7">
        <v>39</v>
      </c>
    </row>
    <row r="74" spans="1:7" x14ac:dyDescent="0.2">
      <c r="A74" s="7" t="s">
        <v>77</v>
      </c>
      <c r="B74" s="7" t="s">
        <v>51</v>
      </c>
      <c r="C74" s="7" t="s">
        <v>52</v>
      </c>
      <c r="D74" s="7" t="s">
        <v>50</v>
      </c>
      <c r="E74" s="7" t="s">
        <v>106</v>
      </c>
      <c r="F74" s="7">
        <v>6</v>
      </c>
      <c r="G74" s="7">
        <v>155</v>
      </c>
    </row>
    <row r="75" spans="1:7" x14ac:dyDescent="0.2">
      <c r="A75" s="7" t="s">
        <v>81</v>
      </c>
      <c r="B75" s="7" t="s">
        <v>51</v>
      </c>
      <c r="C75" s="7" t="s">
        <v>49</v>
      </c>
      <c r="D75" s="7" t="s">
        <v>53</v>
      </c>
      <c r="E75" s="7" t="s">
        <v>151</v>
      </c>
      <c r="F75" s="7">
        <v>4</v>
      </c>
      <c r="G75" s="7">
        <v>180</v>
      </c>
    </row>
    <row r="76" spans="1:7" x14ac:dyDescent="0.2">
      <c r="A76" s="7" t="s">
        <v>81</v>
      </c>
      <c r="B76" s="7" t="s">
        <v>51</v>
      </c>
      <c r="C76" s="7" t="s">
        <v>49</v>
      </c>
      <c r="D76" s="7" t="s">
        <v>53</v>
      </c>
      <c r="E76" s="7" t="s">
        <v>102</v>
      </c>
      <c r="F76" s="7">
        <v>5</v>
      </c>
      <c r="G76" s="7">
        <v>259</v>
      </c>
    </row>
    <row r="77" spans="1:7" x14ac:dyDescent="0.2">
      <c r="A77" s="7" t="s">
        <v>81</v>
      </c>
      <c r="B77" s="7" t="s">
        <v>51</v>
      </c>
      <c r="C77" s="7" t="s">
        <v>49</v>
      </c>
      <c r="D77" s="7" t="s">
        <v>53</v>
      </c>
      <c r="E77" s="7" t="s">
        <v>99</v>
      </c>
      <c r="F77" s="7">
        <v>6</v>
      </c>
      <c r="G77" s="7">
        <v>115</v>
      </c>
    </row>
    <row r="78" spans="1:7" x14ac:dyDescent="0.2">
      <c r="A78" s="7" t="s">
        <v>81</v>
      </c>
      <c r="B78" s="7" t="s">
        <v>48</v>
      </c>
      <c r="C78" s="7" t="s">
        <v>52</v>
      </c>
      <c r="D78" s="7" t="s">
        <v>50</v>
      </c>
      <c r="E78" s="7" t="s">
        <v>156</v>
      </c>
      <c r="F78" s="7">
        <v>4</v>
      </c>
      <c r="G78" s="7">
        <v>374</v>
      </c>
    </row>
    <row r="79" spans="1:7" x14ac:dyDescent="0.2">
      <c r="A79" s="7" t="s">
        <v>81</v>
      </c>
      <c r="B79" s="7" t="s">
        <v>48</v>
      </c>
      <c r="C79" s="7" t="s">
        <v>52</v>
      </c>
      <c r="D79" s="7" t="s">
        <v>50</v>
      </c>
      <c r="E79" s="7" t="s">
        <v>123</v>
      </c>
      <c r="F79" s="7">
        <v>7</v>
      </c>
      <c r="G79" s="7">
        <v>361</v>
      </c>
    </row>
    <row r="80" spans="1:7" x14ac:dyDescent="0.2">
      <c r="A80" s="7" t="s">
        <v>81</v>
      </c>
      <c r="B80" s="7" t="s">
        <v>48</v>
      </c>
      <c r="C80" s="7" t="s">
        <v>52</v>
      </c>
      <c r="D80" s="7" t="s">
        <v>50</v>
      </c>
      <c r="E80" s="7" t="s">
        <v>124</v>
      </c>
      <c r="F80" s="7">
        <v>9</v>
      </c>
      <c r="G80" s="7">
        <v>364</v>
      </c>
    </row>
    <row r="81" spans="1:7" x14ac:dyDescent="0.2">
      <c r="A81" s="7" t="s">
        <v>81</v>
      </c>
      <c r="B81" s="7" t="s">
        <v>48</v>
      </c>
      <c r="C81" s="7" t="s">
        <v>52</v>
      </c>
      <c r="D81" s="7" t="s">
        <v>50</v>
      </c>
      <c r="E81" s="7" t="s">
        <v>105</v>
      </c>
      <c r="F81" s="7">
        <v>7</v>
      </c>
      <c r="G81" s="7">
        <v>127</v>
      </c>
    </row>
    <row r="82" spans="1:7" x14ac:dyDescent="0.2">
      <c r="A82" s="7" t="s">
        <v>81</v>
      </c>
      <c r="B82" s="7" t="s">
        <v>48</v>
      </c>
      <c r="C82" s="7" t="s">
        <v>52</v>
      </c>
      <c r="D82" s="7" t="s">
        <v>50</v>
      </c>
      <c r="E82" s="7" t="s">
        <v>125</v>
      </c>
      <c r="F82" s="7">
        <v>5</v>
      </c>
      <c r="G82" s="7">
        <v>187</v>
      </c>
    </row>
    <row r="83" spans="1:7" x14ac:dyDescent="0.2">
      <c r="A83" s="7" t="s">
        <v>85</v>
      </c>
      <c r="B83" s="7" t="s">
        <v>48</v>
      </c>
      <c r="C83" s="7" t="s">
        <v>49</v>
      </c>
      <c r="D83" s="7" t="s">
        <v>50</v>
      </c>
      <c r="E83" s="7" t="s">
        <v>157</v>
      </c>
      <c r="F83" s="7">
        <v>13</v>
      </c>
      <c r="G83" s="7">
        <v>345</v>
      </c>
    </row>
    <row r="84" spans="1:7" x14ac:dyDescent="0.2">
      <c r="A84" s="7" t="s">
        <v>85</v>
      </c>
      <c r="B84" s="7" t="s">
        <v>48</v>
      </c>
      <c r="C84" s="7" t="s">
        <v>49</v>
      </c>
      <c r="D84" s="7" t="s">
        <v>50</v>
      </c>
      <c r="E84" s="7" t="s">
        <v>126</v>
      </c>
      <c r="F84" s="7">
        <v>7</v>
      </c>
      <c r="G84" s="7">
        <v>136</v>
      </c>
    </row>
    <row r="85" spans="1:7" x14ac:dyDescent="0.2">
      <c r="A85" s="7" t="s">
        <v>85</v>
      </c>
      <c r="B85" s="7" t="s">
        <v>48</v>
      </c>
      <c r="C85" s="7" t="s">
        <v>49</v>
      </c>
      <c r="D85" s="7" t="s">
        <v>50</v>
      </c>
      <c r="E85" s="7" t="s">
        <v>127</v>
      </c>
      <c r="F85" s="7">
        <v>4</v>
      </c>
      <c r="G85" s="7">
        <v>86</v>
      </c>
    </row>
    <row r="86" spans="1:7" x14ac:dyDescent="0.2">
      <c r="A86" s="7" t="s">
        <v>85</v>
      </c>
      <c r="B86" s="7" t="s">
        <v>48</v>
      </c>
      <c r="C86" s="7" t="s">
        <v>49</v>
      </c>
      <c r="D86" s="7" t="s">
        <v>50</v>
      </c>
      <c r="E86" s="7" t="s">
        <v>158</v>
      </c>
      <c r="F86" s="7">
        <v>6</v>
      </c>
      <c r="G86" s="7">
        <v>149</v>
      </c>
    </row>
    <row r="87" spans="1:7" x14ac:dyDescent="0.2">
      <c r="A87" s="7" t="s">
        <v>85</v>
      </c>
      <c r="B87" s="7" t="s">
        <v>48</v>
      </c>
      <c r="C87" s="7" t="s">
        <v>49</v>
      </c>
      <c r="D87" s="7" t="s">
        <v>50</v>
      </c>
      <c r="E87" s="7" t="s">
        <v>113</v>
      </c>
      <c r="F87" s="7">
        <v>6</v>
      </c>
      <c r="G87" s="7">
        <v>83</v>
      </c>
    </row>
    <row r="88" spans="1:7" x14ac:dyDescent="0.2">
      <c r="A88" s="7" t="s">
        <v>85</v>
      </c>
      <c r="B88" s="7" t="s">
        <v>51</v>
      </c>
      <c r="C88" s="7" t="s">
        <v>52</v>
      </c>
      <c r="D88" s="7" t="s">
        <v>53</v>
      </c>
      <c r="E88" s="7" t="s">
        <v>97</v>
      </c>
      <c r="F88" s="7">
        <v>2</v>
      </c>
      <c r="G88" s="7">
        <v>94</v>
      </c>
    </row>
    <row r="89" spans="1:7" x14ac:dyDescent="0.2">
      <c r="A89" s="7" t="s">
        <v>85</v>
      </c>
      <c r="B89" s="7" t="s">
        <v>51</v>
      </c>
      <c r="C89" s="7" t="s">
        <v>52</v>
      </c>
      <c r="D89" s="7" t="s">
        <v>53</v>
      </c>
      <c r="E89" s="7" t="s">
        <v>103</v>
      </c>
      <c r="F89" s="7">
        <v>6</v>
      </c>
      <c r="G89" s="7">
        <v>134</v>
      </c>
    </row>
    <row r="90" spans="1:7" x14ac:dyDescent="0.2">
      <c r="A90" s="7" t="s">
        <v>85</v>
      </c>
      <c r="B90" s="7" t="s">
        <v>51</v>
      </c>
      <c r="C90" s="7" t="s">
        <v>52</v>
      </c>
      <c r="D90" s="7" t="s">
        <v>53</v>
      </c>
      <c r="E90" s="7" t="s">
        <v>109</v>
      </c>
      <c r="F90" s="7">
        <v>4</v>
      </c>
      <c r="G90" s="7">
        <v>138</v>
      </c>
    </row>
    <row r="91" spans="1:7" x14ac:dyDescent="0.2">
      <c r="A91" s="7" t="s">
        <v>85</v>
      </c>
      <c r="B91" s="7" t="s">
        <v>51</v>
      </c>
      <c r="C91" s="7" t="s">
        <v>52</v>
      </c>
      <c r="D91" s="7" t="s">
        <v>53</v>
      </c>
      <c r="E91" s="7" t="s">
        <v>134</v>
      </c>
      <c r="F91" s="7">
        <v>5</v>
      </c>
      <c r="G91" s="7">
        <v>86</v>
      </c>
    </row>
    <row r="92" spans="1:7" x14ac:dyDescent="0.2">
      <c r="A92" s="7" t="s">
        <v>85</v>
      </c>
      <c r="B92" s="7" t="s">
        <v>51</v>
      </c>
      <c r="C92" s="7" t="s">
        <v>52</v>
      </c>
      <c r="D92" s="7" t="s">
        <v>53</v>
      </c>
      <c r="E92" s="7" t="s">
        <v>129</v>
      </c>
      <c r="F92" s="7">
        <v>7</v>
      </c>
      <c r="G92" s="7">
        <v>115</v>
      </c>
    </row>
    <row r="93" spans="1:7" x14ac:dyDescent="0.2">
      <c r="A93" s="7" t="s">
        <v>89</v>
      </c>
      <c r="B93" s="7" t="s">
        <v>51</v>
      </c>
      <c r="C93" s="7" t="s">
        <v>49</v>
      </c>
      <c r="D93" s="7" t="s">
        <v>50</v>
      </c>
      <c r="E93" s="7" t="s">
        <v>131</v>
      </c>
      <c r="F93" s="7">
        <v>5</v>
      </c>
      <c r="G93" s="7">
        <v>180</v>
      </c>
    </row>
    <row r="94" spans="1:7" x14ac:dyDescent="0.2">
      <c r="A94" s="7" t="s">
        <v>89</v>
      </c>
      <c r="B94" s="7" t="s">
        <v>51</v>
      </c>
      <c r="C94" s="7" t="s">
        <v>49</v>
      </c>
      <c r="D94" s="7" t="s">
        <v>50</v>
      </c>
      <c r="E94" s="7" t="s">
        <v>105</v>
      </c>
      <c r="F94" s="7">
        <v>5</v>
      </c>
      <c r="G94" s="7">
        <v>95</v>
      </c>
    </row>
    <row r="95" spans="1:7" x14ac:dyDescent="0.2">
      <c r="A95" s="7" t="s">
        <v>89</v>
      </c>
      <c r="B95" s="7" t="s">
        <v>51</v>
      </c>
      <c r="C95" s="7" t="s">
        <v>49</v>
      </c>
      <c r="D95" s="7" t="s">
        <v>50</v>
      </c>
      <c r="E95" s="7" t="s">
        <v>161</v>
      </c>
      <c r="F95" s="7">
        <v>6</v>
      </c>
      <c r="G95" s="7">
        <v>178</v>
      </c>
    </row>
    <row r="96" spans="1:7" x14ac:dyDescent="0.2">
      <c r="A96" s="7" t="s">
        <v>89</v>
      </c>
      <c r="B96" s="7" t="s">
        <v>48</v>
      </c>
      <c r="C96" s="7" t="s">
        <v>52</v>
      </c>
      <c r="D96" s="7" t="s">
        <v>53</v>
      </c>
      <c r="E96" s="7" t="s">
        <v>130</v>
      </c>
      <c r="F96" s="7">
        <v>5</v>
      </c>
      <c r="G96" s="7">
        <v>139</v>
      </c>
    </row>
    <row r="97" spans="1:7" x14ac:dyDescent="0.2">
      <c r="A97" s="7" t="s">
        <v>89</v>
      </c>
      <c r="B97" s="7" t="s">
        <v>48</v>
      </c>
      <c r="C97" s="7" t="s">
        <v>52</v>
      </c>
      <c r="D97" s="7" t="s">
        <v>53</v>
      </c>
      <c r="E97" s="7" t="s">
        <v>159</v>
      </c>
      <c r="F97" s="7">
        <v>7</v>
      </c>
      <c r="G97" s="7">
        <v>234</v>
      </c>
    </row>
    <row r="98" spans="1:7" x14ac:dyDescent="0.2">
      <c r="A98" s="7" t="s">
        <v>89</v>
      </c>
      <c r="B98" s="7" t="s">
        <v>48</v>
      </c>
      <c r="C98" s="7" t="s">
        <v>52</v>
      </c>
      <c r="D98" s="7" t="s">
        <v>53</v>
      </c>
      <c r="E98" s="7" t="s">
        <v>160</v>
      </c>
      <c r="F98" s="7">
        <v>11</v>
      </c>
      <c r="G98" s="7">
        <v>435</v>
      </c>
    </row>
    <row r="99" spans="1:7" x14ac:dyDescent="0.2">
      <c r="A99" s="7" t="s">
        <v>89</v>
      </c>
      <c r="B99" s="7" t="s">
        <v>48</v>
      </c>
      <c r="C99" s="7" t="s">
        <v>52</v>
      </c>
      <c r="D99" s="7" t="s">
        <v>53</v>
      </c>
      <c r="E99" s="7" t="s">
        <v>111</v>
      </c>
      <c r="F99" s="7">
        <v>6</v>
      </c>
      <c r="G99" s="7">
        <v>188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 Demographics</vt:lpstr>
      <vt:lpstr>EQ1, EQ4-EQ7</vt:lpstr>
      <vt:lpstr>EQ2, EQ3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Yihang Zhao</cp:lastModifiedBy>
  <cp:revision>0</cp:revision>
  <dcterms:created xsi:type="dcterms:W3CDTF">2026-10-03T09:10:29Z</dcterms:created>
  <dcterms:modified xsi:type="dcterms:W3CDTF">2026-10-05T21:03:33Z</dcterms:modified>
  <dc:language>en-US</dc:language>
</cp:coreProperties>
</file>